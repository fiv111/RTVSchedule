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filterPrivacy="1" codeName="ThisWorkbook" autoCompressPictures="0" defaultThemeVersion="124226"/>
  <bookViews>
    <workbookView xWindow="120" yWindow="90" windowWidth="20475" windowHeight="11850"/>
  </bookViews>
  <sheets>
    <sheet name="main" sheetId="1" r:id="rId1"/>
    <sheet name="holiday" sheetId="3" r:id="rId2"/>
    <sheet name="member" sheetId="2" r:id="rId3"/>
    <sheet name="status" sheetId="4" r:id="rId4"/>
  </sheets>
  <functionGroups builtInGroupCount="17"/>
  <definedNames>
    <definedName name="_xlnm.Print_Area" localSheetId="0">main!$A$1:$AN$38</definedName>
    <definedName name="RTVEndDate">42582</definedName>
    <definedName name="RTVStartDate">42552</definedName>
  </definedNames>
  <calcPr calcId="145621"/>
</workbook>
</file>

<file path=xl/calcChain.xml><?xml version="1.0" encoding="utf-8"?>
<calcChain xmlns="http://schemas.openxmlformats.org/spreadsheetml/2006/main">
  <c r="N1" i="1" l="1"/>
  <c r="N2" i="1"/>
  <c r="B8" i="1"/>
  <c r="H7" i="1"/>
  <c r="Z2" i="1" l="1"/>
  <c r="V2" i="1"/>
  <c r="R2" i="1"/>
  <c r="J2" i="1"/>
  <c r="Z1" i="1"/>
  <c r="V1" i="1"/>
  <c r="R1" i="1"/>
  <c r="J1" i="1"/>
  <c r="A3" i="2"/>
  <c r="A4" i="2" s="1"/>
  <c r="A5" i="2"/>
  <c r="A6" i="2" s="1"/>
  <c r="A7" i="2"/>
  <c r="A8" i="2"/>
  <c r="A9" i="2"/>
  <c r="A10" i="2"/>
  <c r="A11" i="2"/>
  <c r="B9" i="1"/>
  <c r="B10" i="1"/>
  <c r="B11" i="1"/>
  <c r="E8" i="1"/>
  <c r="A3" i="3"/>
  <c r="A3" i="4"/>
  <c r="A4" i="3"/>
  <c r="A5" i="3"/>
  <c r="A6" i="3"/>
  <c r="A4" i="4"/>
  <c r="A5" i="4" s="1"/>
  <c r="A6" i="4" s="1"/>
  <c r="A7" i="4"/>
  <c r="A8" i="4" s="1"/>
  <c r="A9" i="4" s="1"/>
  <c r="A10" i="4" s="1"/>
  <c r="A11" i="4" s="1"/>
  <c r="A12" i="4" s="1"/>
  <c r="A7" i="3"/>
  <c r="A8" i="3" s="1"/>
  <c r="A9" i="3" s="1"/>
  <c r="A10" i="3"/>
  <c r="A11" i="3" s="1"/>
  <c r="A12" i="3" s="1"/>
  <c r="A13" i="3"/>
  <c r="A14" i="3"/>
  <c r="A15" i="3"/>
  <c r="A16" i="3"/>
  <c r="A17" i="3"/>
  <c r="A18" i="3"/>
  <c r="A19" i="3"/>
  <c r="A20" i="3"/>
  <c r="A21" i="3"/>
  <c r="A22" i="3"/>
  <c r="A23" i="3"/>
  <c r="A24" i="3"/>
  <c r="A25" i="3"/>
  <c r="A26" i="3"/>
  <c r="A27" i="3"/>
  <c r="A28" i="3"/>
  <c r="A29" i="3"/>
  <c r="A30" i="3"/>
  <c r="A31" i="3"/>
  <c r="A32" i="3"/>
  <c r="A33" i="3"/>
  <c r="A34" i="3"/>
  <c r="A35" i="3"/>
  <c r="A36" i="3"/>
  <c r="A37" i="3"/>
  <c r="A38" i="3"/>
  <c r="A39" i="3"/>
  <c r="A40" i="3"/>
  <c r="A41" i="3"/>
  <c r="A42" i="3"/>
  <c r="A43" i="3"/>
  <c r="A44" i="3"/>
  <c r="A45" i="3"/>
  <c r="A46" i="3"/>
  <c r="A47" i="3"/>
  <c r="A48" i="3"/>
  <c r="A49" i="3"/>
  <c r="A50" i="3"/>
  <c r="A51" i="3"/>
  <c r="A52" i="3"/>
  <c r="A53" i="3"/>
  <c r="A54" i="3"/>
  <c r="A55" i="3"/>
  <c r="A56" i="3"/>
  <c r="A57" i="3"/>
  <c r="A58" i="3"/>
  <c r="A59" i="3"/>
  <c r="A60" i="3"/>
  <c r="A61" i="3"/>
  <c r="A62" i="3"/>
  <c r="A63" i="3"/>
  <c r="A64" i="3"/>
  <c r="A65" i="3"/>
  <c r="A66" i="3"/>
  <c r="A67" i="3"/>
  <c r="A68" i="3"/>
  <c r="A69" i="3"/>
  <c r="A70" i="3"/>
  <c r="A71" i="3"/>
  <c r="A72" i="3"/>
  <c r="A73" i="3"/>
  <c r="A74" i="3"/>
  <c r="A75" i="3"/>
  <c r="A76" i="3"/>
  <c r="A77" i="3"/>
  <c r="A78" i="3"/>
  <c r="A79" i="3"/>
  <c r="A80" i="3"/>
  <c r="A81" i="3"/>
  <c r="A82" i="3"/>
  <c r="A83" i="3"/>
  <c r="A84" i="3"/>
  <c r="A85" i="3"/>
  <c r="A86" i="3"/>
  <c r="A87" i="3"/>
  <c r="A88" i="3"/>
  <c r="A89" i="3"/>
  <c r="A90" i="3"/>
  <c r="A91" i="3"/>
  <c r="A92" i="3"/>
  <c r="A93" i="3"/>
  <c r="A94" i="3"/>
  <c r="A95" i="3"/>
  <c r="A96" i="3"/>
  <c r="A97" i="3"/>
  <c r="A98" i="3"/>
  <c r="A99" i="3"/>
  <c r="A100" i="3"/>
  <c r="A101" i="3"/>
  <c r="A102" i="3"/>
  <c r="A103" i="3"/>
  <c r="A104" i="3"/>
  <c r="A105" i="3"/>
  <c r="A106" i="3"/>
  <c r="A107" i="3"/>
  <c r="A108" i="3"/>
  <c r="A109" i="3"/>
  <c r="A110" i="3"/>
  <c r="A111" i="3"/>
  <c r="A112" i="3"/>
  <c r="A113" i="3"/>
  <c r="A114" i="3"/>
  <c r="A115" i="3"/>
  <c r="A116" i="3"/>
  <c r="A117" i="3"/>
  <c r="A118" i="3"/>
  <c r="A119" i="3"/>
  <c r="A120" i="3"/>
  <c r="A121" i="3"/>
  <c r="A122" i="3"/>
  <c r="A123" i="3"/>
  <c r="A124" i="3"/>
  <c r="A125" i="3"/>
  <c r="A126" i="3"/>
  <c r="A127" i="3"/>
  <c r="A128" i="3"/>
  <c r="A129" i="3"/>
  <c r="A130" i="3"/>
  <c r="A131" i="3"/>
  <c r="A132" i="3"/>
  <c r="A133" i="3"/>
  <c r="A134" i="3"/>
  <c r="A135" i="3"/>
  <c r="A136" i="3"/>
  <c r="A137" i="3"/>
  <c r="A138" i="3"/>
  <c r="A139" i="3"/>
  <c r="A140" i="3"/>
  <c r="A141" i="3"/>
  <c r="A142" i="3"/>
  <c r="A143" i="3"/>
  <c r="A144" i="3"/>
  <c r="A145" i="3"/>
  <c r="A146" i="3"/>
  <c r="A147" i="3"/>
  <c r="A148" i="3"/>
  <c r="A149" i="3"/>
  <c r="A150" i="3"/>
  <c r="A151" i="3"/>
  <c r="A152" i="3"/>
  <c r="A153" i="3"/>
  <c r="A154" i="3"/>
  <c r="A155" i="3"/>
  <c r="A156" i="3"/>
  <c r="A157" i="3"/>
  <c r="A158" i="3"/>
  <c r="A159" i="3"/>
  <c r="A160" i="3"/>
  <c r="A161" i="3"/>
  <c r="A162" i="3"/>
  <c r="A163" i="3"/>
  <c r="A164" i="3"/>
  <c r="A165" i="3"/>
  <c r="A166" i="3"/>
  <c r="A167" i="3"/>
  <c r="A168" i="3"/>
  <c r="A169" i="3"/>
  <c r="A170" i="3"/>
  <c r="A171" i="3"/>
  <c r="A172" i="3"/>
  <c r="A173" i="3"/>
  <c r="A174" i="3"/>
  <c r="A175" i="3"/>
  <c r="A176" i="3"/>
  <c r="A177" i="3"/>
  <c r="A178" i="3"/>
  <c r="A179" i="3"/>
  <c r="A180" i="3"/>
  <c r="A181" i="3"/>
  <c r="A182" i="3"/>
  <c r="A183" i="3"/>
  <c r="A184" i="3"/>
  <c r="A185" i="3"/>
  <c r="A186" i="3"/>
  <c r="A187" i="3"/>
  <c r="A188" i="3"/>
  <c r="A189" i="3"/>
  <c r="A190" i="3"/>
  <c r="A191" i="3"/>
  <c r="A192" i="3"/>
  <c r="A193" i="3"/>
  <c r="A194" i="3"/>
  <c r="A195" i="3"/>
  <c r="A196" i="3"/>
  <c r="A197" i="3"/>
  <c r="A198" i="3"/>
  <c r="A199" i="3"/>
  <c r="A200" i="3"/>
  <c r="A201" i="3"/>
  <c r="A202" i="3"/>
  <c r="A203" i="3"/>
  <c r="A204" i="3"/>
  <c r="A205" i="3"/>
  <c r="A206" i="3"/>
  <c r="A207" i="3"/>
  <c r="A208" i="3"/>
  <c r="A209" i="3"/>
  <c r="A210" i="3"/>
  <c r="A211" i="3"/>
  <c r="A212" i="3"/>
  <c r="A213" i="3"/>
  <c r="A214" i="3"/>
  <c r="A215" i="3"/>
  <c r="A216" i="3"/>
  <c r="A217" i="3"/>
  <c r="A218" i="3"/>
  <c r="A219" i="3"/>
  <c r="A220" i="3"/>
  <c r="A221" i="3"/>
  <c r="A222" i="3"/>
  <c r="A223" i="3"/>
  <c r="A224" i="3"/>
  <c r="A225" i="3"/>
  <c r="A226" i="3"/>
  <c r="A227" i="3"/>
  <c r="A228" i="3"/>
  <c r="A229" i="3"/>
  <c r="A230" i="3"/>
  <c r="A231" i="3"/>
  <c r="A232" i="3"/>
  <c r="A233" i="3"/>
  <c r="A234" i="3"/>
  <c r="A235" i="3"/>
  <c r="A236" i="3"/>
  <c r="A237" i="3"/>
  <c r="A238" i="3"/>
  <c r="A239" i="3"/>
  <c r="A240" i="3"/>
  <c r="A241" i="3"/>
  <c r="A242" i="3"/>
  <c r="A243" i="3"/>
  <c r="A244" i="3"/>
  <c r="A245" i="3"/>
  <c r="A246" i="3"/>
  <c r="A247" i="3"/>
  <c r="A248" i="3"/>
  <c r="A249" i="3"/>
  <c r="A250" i="3"/>
  <c r="A251" i="3"/>
  <c r="A252" i="3"/>
  <c r="A253" i="3"/>
  <c r="A254" i="3"/>
  <c r="A255" i="3"/>
  <c r="A256" i="3"/>
  <c r="A257" i="3"/>
  <c r="A258" i="3"/>
  <c r="A259" i="3"/>
  <c r="A260" i="3"/>
  <c r="A261" i="3"/>
  <c r="A262" i="3"/>
  <c r="A263" i="3"/>
  <c r="A264" i="3"/>
  <c r="A265" i="3"/>
  <c r="A266" i="3"/>
  <c r="A267" i="3"/>
  <c r="A268" i="3"/>
  <c r="A269" i="3"/>
  <c r="A270" i="3"/>
  <c r="A271" i="3"/>
  <c r="A272" i="3"/>
  <c r="A273" i="3"/>
  <c r="A274" i="3"/>
  <c r="A275" i="3"/>
  <c r="A276" i="3"/>
  <c r="A277" i="3"/>
  <c r="A278" i="3"/>
  <c r="A279" i="3"/>
  <c r="A280" i="3"/>
  <c r="A281" i="3"/>
  <c r="A282" i="3"/>
  <c r="A283" i="3"/>
  <c r="A284" i="3"/>
  <c r="A285" i="3"/>
  <c r="A286" i="3"/>
  <c r="A287" i="3"/>
  <c r="A288" i="3"/>
  <c r="A289" i="3"/>
  <c r="A290" i="3"/>
  <c r="A291" i="3"/>
  <c r="A292" i="3"/>
  <c r="A293" i="3"/>
  <c r="A294" i="3"/>
  <c r="A295" i="3"/>
  <c r="A296" i="3"/>
  <c r="A297" i="3"/>
  <c r="A298" i="3"/>
  <c r="A299" i="3"/>
  <c r="A300" i="3"/>
  <c r="A301" i="3"/>
  <c r="A302" i="3"/>
  <c r="A303" i="3"/>
  <c r="A304" i="3"/>
  <c r="A305" i="3"/>
  <c r="A306" i="3"/>
  <c r="A307" i="3"/>
  <c r="A308" i="3"/>
  <c r="A309" i="3"/>
  <c r="A310" i="3"/>
  <c r="A311" i="3"/>
  <c r="A312" i="3"/>
  <c r="A313" i="3"/>
  <c r="A314" i="3"/>
  <c r="A315" i="3"/>
  <c r="A316" i="3"/>
  <c r="A317" i="3"/>
  <c r="A318" i="3"/>
  <c r="A319" i="3"/>
  <c r="A320" i="3"/>
  <c r="A321" i="3"/>
  <c r="A322" i="3"/>
  <c r="A323" i="3"/>
  <c r="A324" i="3"/>
  <c r="A325" i="3"/>
  <c r="A326" i="3"/>
  <c r="A327" i="3"/>
  <c r="A328" i="3"/>
  <c r="A329" i="3"/>
  <c r="A330" i="3"/>
  <c r="A331" i="3"/>
  <c r="A332" i="3"/>
  <c r="A333" i="3"/>
  <c r="A334" i="3"/>
  <c r="A335" i="3"/>
  <c r="A336" i="3"/>
  <c r="A337" i="3"/>
  <c r="A338" i="3"/>
  <c r="A339" i="3"/>
  <c r="A340" i="3"/>
  <c r="A341" i="3"/>
  <c r="A342" i="3"/>
  <c r="A343" i="3"/>
  <c r="A344" i="3"/>
  <c r="A345" i="3"/>
  <c r="A346" i="3"/>
  <c r="A347" i="3"/>
  <c r="A348" i="3"/>
  <c r="A349" i="3"/>
  <c r="A350" i="3"/>
  <c r="A351" i="3"/>
  <c r="A352" i="3"/>
  <c r="A353" i="3"/>
  <c r="A354" i="3"/>
  <c r="A355" i="3"/>
  <c r="B12" i="1"/>
  <c r="B13" i="1"/>
  <c r="B14" i="1"/>
  <c r="B15" i="1"/>
  <c r="B16" i="1"/>
  <c r="B18" i="1"/>
  <c r="B19" i="1"/>
  <c r="B20" i="1"/>
  <c r="B21" i="1"/>
  <c r="B22" i="1"/>
  <c r="B23" i="1"/>
  <c r="B24" i="1"/>
  <c r="B25" i="1"/>
  <c r="B26" i="1"/>
  <c r="B27" i="1"/>
  <c r="B29" i="1"/>
  <c r="B30" i="1"/>
  <c r="B31" i="1"/>
  <c r="B32" i="1"/>
  <c r="B33" i="1"/>
  <c r="B34" i="1"/>
  <c r="H8" i="1"/>
  <c r="E9" i="1" s="1"/>
  <c r="H9" i="1" s="1"/>
  <c r="B35" i="1"/>
  <c r="B36" i="1" s="1"/>
  <c r="B37" i="1"/>
  <c r="B38" i="1"/>
  <c r="E10" i="1"/>
  <c r="H10" i="1"/>
  <c r="E11" i="1" s="1"/>
  <c r="H11" i="1" s="1"/>
  <c r="E12" i="1"/>
  <c r="H12" i="1"/>
  <c r="E13" i="1" s="1"/>
  <c r="H13" i="1" s="1"/>
  <c r="E14" i="1"/>
  <c r="H14" i="1"/>
  <c r="E15" i="1" s="1"/>
  <c r="H15" i="1" s="1"/>
  <c r="E16" i="1"/>
  <c r="H16" i="1"/>
  <c r="E18" i="1"/>
  <c r="H18" i="1"/>
  <c r="E19" i="1"/>
  <c r="H19" i="1"/>
  <c r="E20" i="1"/>
  <c r="H20" i="1" s="1"/>
  <c r="E21" i="1"/>
  <c r="H21" i="1"/>
  <c r="E22" i="1"/>
  <c r="H22" i="1"/>
  <c r="E23" i="1" s="1"/>
  <c r="H23" i="1" s="1"/>
  <c r="E24" i="1"/>
  <c r="H24" i="1"/>
  <c r="E25" i="1" s="1"/>
  <c r="H25" i="1" s="1"/>
  <c r="E26" i="1"/>
  <c r="H26" i="1"/>
  <c r="E27" i="1" s="1"/>
  <c r="H27" i="1"/>
  <c r="E29" i="1"/>
  <c r="H29" i="1"/>
  <c r="E30" i="1"/>
  <c r="H30" i="1" s="1"/>
  <c r="E31" i="1"/>
  <c r="H31" i="1" s="1"/>
  <c r="E32" i="1"/>
  <c r="H32" i="1"/>
  <c r="E33" i="1" s="1"/>
  <c r="H33" i="1" s="1"/>
  <c r="E34" i="1"/>
  <c r="H34" i="1"/>
  <c r="E35" i="1" s="1"/>
  <c r="H35" i="1" s="1"/>
  <c r="E36" i="1"/>
  <c r="H36" i="1"/>
  <c r="E37" i="1" s="1"/>
  <c r="H37" i="1" s="1"/>
  <c r="E38" i="1"/>
  <c r="H38" i="1"/>
</calcChain>
</file>

<file path=xl/sharedStrings.xml><?xml version="1.0" encoding="utf-8"?>
<sst xmlns="http://schemas.openxmlformats.org/spreadsheetml/2006/main" count="896" uniqueCount="98">
  <si>
    <t>入稿</t>
  </si>
  <si>
    <t>member0</t>
  </si>
  <si>
    <t>制作</t>
  </si>
  <si>
    <t>member2</t>
  </si>
  <si>
    <t>テストアップ</t>
  </si>
  <si>
    <t>member3</t>
  </si>
  <si>
    <t>確認</t>
  </si>
  <si>
    <t>member4</t>
  </si>
  <si>
    <t>修正</t>
  </si>
  <si>
    <t>member5</t>
  </si>
  <si>
    <t>member6</t>
  </si>
  <si>
    <t>member7</t>
  </si>
  <si>
    <t>確認、認証</t>
  </si>
  <si>
    <t>member8</t>
  </si>
  <si>
    <t>公開</t>
  </si>
  <si>
    <t>member9</t>
  </si>
  <si>
    <t>未着手</t>
  </si>
  <si>
    <t>対応済</t>
  </si>
  <si>
    <t>TaskName</t>
    <phoneticPr fontId="1"/>
  </si>
  <si>
    <t>member0</t>
    <phoneticPr fontId="1"/>
  </si>
  <si>
    <t>member1</t>
    <phoneticPr fontId="1"/>
  </si>
  <si>
    <t>準備中</t>
  </si>
  <si>
    <t>対応中</t>
    <rPh sb="0" eb="2">
      <t>タイオウ</t>
    </rPh>
    <phoneticPr fontId="1"/>
  </si>
  <si>
    <t>確認中</t>
  </si>
  <si>
    <t>リリース</t>
    <phoneticPr fontId="1"/>
  </si>
  <si>
    <t>元日</t>
  </si>
  <si>
    <t>火</t>
  </si>
  <si>
    <t>成人の日</t>
  </si>
  <si>
    <t>月</t>
  </si>
  <si>
    <t>建国記念の日</t>
  </si>
  <si>
    <t>春分の日</t>
  </si>
  <si>
    <t>水</t>
  </si>
  <si>
    <t>昭和の日</t>
  </si>
  <si>
    <t>憲法記念日</t>
  </si>
  <si>
    <t>金</t>
  </si>
  <si>
    <t>みどりの日</t>
  </si>
  <si>
    <t>土</t>
  </si>
  <si>
    <t>こどもの日</t>
  </si>
  <si>
    <t>日</t>
  </si>
  <si>
    <t>振替休日</t>
  </si>
  <si>
    <t>海の日</t>
  </si>
  <si>
    <t>敬老の日</t>
  </si>
  <si>
    <t>秋分の日</t>
  </si>
  <si>
    <t>体育の日</t>
  </si>
  <si>
    <t>文化の日</t>
  </si>
  <si>
    <t>勤労感謝の日</t>
  </si>
  <si>
    <t>天皇誕生日</t>
  </si>
  <si>
    <t>木</t>
  </si>
  <si>
    <t>国民の休日</t>
  </si>
  <si>
    <t>山の日</t>
  </si>
  <si>
    <t>id</t>
    <phoneticPr fontId="1"/>
  </si>
  <si>
    <t>id</t>
    <phoneticPr fontId="1"/>
  </si>
  <si>
    <t>status</t>
    <phoneticPr fontId="1"/>
  </si>
  <si>
    <t>description</t>
    <phoneticPr fontId="1"/>
  </si>
  <si>
    <t>day</t>
    <phoneticPr fontId="1"/>
  </si>
  <si>
    <t>day week</t>
    <phoneticPr fontId="1"/>
  </si>
  <si>
    <t>No.</t>
    <phoneticPr fontId="1"/>
  </si>
  <si>
    <t>タスク</t>
    <phoneticPr fontId="1"/>
  </si>
  <si>
    <t>担当</t>
    <rPh sb="0" eb="2">
      <t>タントウ</t>
    </rPh>
    <phoneticPr fontId="1"/>
  </si>
  <si>
    <t>開始日</t>
    <rPh sb="0" eb="3">
      <t>カイシビ</t>
    </rPh>
    <phoneticPr fontId="1"/>
  </si>
  <si>
    <t>作業日数</t>
    <rPh sb="0" eb="2">
      <t>サギョウ</t>
    </rPh>
    <rPh sb="2" eb="4">
      <t>ニッスウ</t>
    </rPh>
    <phoneticPr fontId="1"/>
  </si>
  <si>
    <t>調整日数</t>
    <rPh sb="0" eb="2">
      <t>チョウセイ</t>
    </rPh>
    <rPh sb="2" eb="4">
      <t>ニッスウ</t>
    </rPh>
    <phoneticPr fontId="1"/>
  </si>
  <si>
    <t>完了日</t>
    <rPh sb="0" eb="3">
      <t>カンリョウビ</t>
    </rPh>
    <phoneticPr fontId="1"/>
  </si>
  <si>
    <t>ステータス</t>
    <phoneticPr fontId="1"/>
  </si>
  <si>
    <t>value</t>
    <phoneticPr fontId="1"/>
  </si>
  <si>
    <t>備考欄</t>
    <rPh sb="0" eb="2">
      <t>ビコウ</t>
    </rPh>
    <rPh sb="2" eb="3">
      <t>ラン</t>
    </rPh>
    <phoneticPr fontId="1"/>
  </si>
  <si>
    <t>member1</t>
  </si>
  <si>
    <t>リリース</t>
  </si>
  <si>
    <t>中止</t>
    <rPh sb="0" eb="2">
      <t>チュウシ</t>
    </rPh>
    <phoneticPr fontId="1"/>
  </si>
  <si>
    <t>テスト中</t>
    <rPh sb="3" eb="4">
      <t>チュウ</t>
    </rPh>
    <phoneticPr fontId="1"/>
  </si>
  <si>
    <t>保留</t>
  </si>
  <si>
    <t>保留</t>
    <phoneticPr fontId="1"/>
  </si>
  <si>
    <t>承認中</t>
    <rPh sb="2" eb="3">
      <t>ナカ</t>
    </rPh>
    <phoneticPr fontId="1"/>
  </si>
  <si>
    <t>確認</t>
    <phoneticPr fontId="1"/>
  </si>
  <si>
    <t>color</t>
    <phoneticPr fontId="1"/>
  </si>
  <si>
    <t>192,226,230</t>
    <phoneticPr fontId="1"/>
  </si>
  <si>
    <t>253,207,148</t>
    <phoneticPr fontId="1"/>
  </si>
  <si>
    <t>223,220,213</t>
    <phoneticPr fontId="1"/>
  </si>
  <si>
    <t>242,240,218</t>
    <phoneticPr fontId="1"/>
  </si>
  <si>
    <t>251,202,210</t>
    <phoneticPr fontId="1"/>
  </si>
  <si>
    <t>167,237,169</t>
    <phoneticPr fontId="1"/>
  </si>
  <si>
    <t>255,172,183</t>
    <phoneticPr fontId="1"/>
  </si>
  <si>
    <t>254,242,139</t>
    <phoneticPr fontId="1"/>
  </si>
  <si>
    <t>154,231,217</t>
    <phoneticPr fontId="1"/>
  </si>
  <si>
    <t>242,242,242</t>
    <phoneticPr fontId="1"/>
  </si>
  <si>
    <t>204,204,204</t>
    <phoneticPr fontId="1"/>
  </si>
  <si>
    <t>179,179,179</t>
    <phoneticPr fontId="1"/>
  </si>
  <si>
    <t>153,153,153</t>
    <phoneticPr fontId="1"/>
  </si>
  <si>
    <t>26,26,26</t>
    <phoneticPr fontId="1"/>
  </si>
  <si>
    <t>77,77,77</t>
    <phoneticPr fontId="1"/>
  </si>
  <si>
    <t>51,51,51</t>
    <phoneticPr fontId="1"/>
  </si>
  <si>
    <t>102,102,102</t>
    <phoneticPr fontId="1"/>
  </si>
  <si>
    <t>128,128,128</t>
    <phoneticPr fontId="1"/>
  </si>
  <si>
    <t>230,230,230</t>
    <phoneticPr fontId="1"/>
  </si>
  <si>
    <t>制作中</t>
    <rPh sb="0" eb="2">
      <t>セイサク</t>
    </rPh>
    <rPh sb="2" eb="3">
      <t>チュウ</t>
    </rPh>
    <phoneticPr fontId="1"/>
  </si>
  <si>
    <t>255,255,255</t>
    <phoneticPr fontId="1"/>
  </si>
  <si>
    <t>Project Name</t>
    <phoneticPr fontId="1"/>
  </si>
  <si>
    <t>228,211,241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</si>
</sst>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6" x14ac:knownFonts="1">
    <font>
      <sz val="10"/>
      <color theme="1"/>
      <name val="メイリオ"/>
      <family val="2"/>
      <charset val="128"/>
    </font>
    <font>
      <sz val="6"/>
      <name val="メイリオ"/>
      <family val="2"/>
      <charset val="128"/>
    </font>
    <font>
      <sz val="10"/>
      <color theme="0"/>
      <name val="メイリオ"/>
      <family val="2"/>
      <charset val="128"/>
    </font>
    <font>
      <b/>
      <sz val="10"/>
      <color theme="0"/>
      <name val="メイリオ"/>
      <family val="3"/>
      <charset val="128"/>
    </font>
    <font>
      <sz val="10"/>
      <color theme="0"/>
      <name val="メイリオ"/>
      <family val="3"/>
      <charset val="128"/>
    </font>
    <font>
      <b/>
      <sz val="10"/>
      <color theme="1"/>
      <name val="メイリオ"/>
      <family val="3"/>
      <charset val="128"/>
    </font>
  </fonts>
  <fills count="28">
    <fill>
      <patternFill patternType="none"/>
    </fill>
    <fill>
      <patternFill patternType="gray125"/>
    </fill>
    <fill>
      <patternFill patternType="solid">
        <fgColor theme="1"/>
        <bgColor indexed="64"/>
      </patternFill>
    </fill>
    <fill>
      <patternFill patternType="solid">
        <fgColor rgb="FFA6A6A6"/>
        <bgColor indexed="64"/>
      </patternFill>
    </fill>
    <fill>
      <patternFill patternType="solid">
        <fgColor rgb="FF92CDDC"/>
        <bgColor indexed="64"/>
      </patternFill>
    </fill>
    <fill>
      <patternFill patternType="solid">
        <fgColor rgb="FFDA9694"/>
        <bgColor indexed="64"/>
      </patternFill>
    </fill>
    <fill>
      <patternFill patternType="solid">
        <fgColor rgb="FFC0E2E6"/>
        <bgColor indexed="64"/>
      </patternFill>
    </fill>
    <fill>
      <patternFill patternType="solid">
        <fgColor rgb="FFFDCF94"/>
        <bgColor indexed="64"/>
      </patternFill>
    </fill>
    <fill>
      <patternFill patternType="solid">
        <fgColor rgb="FFDFDCD5"/>
        <bgColor indexed="64"/>
      </patternFill>
    </fill>
    <fill>
      <patternFill patternType="solid">
        <fgColor rgb="FFF2F0DA"/>
        <bgColor indexed="64"/>
      </patternFill>
    </fill>
    <fill>
      <patternFill patternType="solid">
        <fgColor rgb="FFFBCAD2"/>
        <bgColor indexed="64"/>
      </patternFill>
    </fill>
    <fill>
      <patternFill patternType="solid">
        <fgColor rgb="FFA7EDA9"/>
        <bgColor indexed="64"/>
      </patternFill>
    </fill>
    <fill>
      <patternFill patternType="solid">
        <fgColor rgb="FFFFACB7"/>
        <bgColor indexed="64"/>
      </patternFill>
    </fill>
    <fill>
      <patternFill patternType="solid">
        <fgColor rgb="FFFEF28B"/>
        <bgColor indexed="64"/>
      </patternFill>
    </fill>
    <fill>
      <patternFill patternType="solid">
        <fgColor rgb="FF9AE7D9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rgb="FFE6E6E6"/>
        <bgColor indexed="64"/>
      </patternFill>
    </fill>
    <fill>
      <patternFill patternType="solid">
        <fgColor rgb="FFCCCCCC"/>
        <bgColor indexed="64"/>
      </patternFill>
    </fill>
    <fill>
      <patternFill patternType="solid">
        <fgColor rgb="FFB3B3B3"/>
        <bgColor indexed="64"/>
      </patternFill>
    </fill>
    <fill>
      <patternFill patternType="solid">
        <fgColor rgb="FF999999"/>
        <bgColor indexed="64"/>
      </patternFill>
    </fill>
    <fill>
      <patternFill patternType="solid">
        <fgColor rgb="FF808080"/>
        <bgColor indexed="64"/>
      </patternFill>
    </fill>
    <fill>
      <patternFill patternType="solid">
        <fgColor rgb="FF666666"/>
        <bgColor indexed="64"/>
      </patternFill>
    </fill>
    <fill>
      <patternFill patternType="solid">
        <fgColor rgb="FF4D4D4D"/>
        <bgColor indexed="64"/>
      </patternFill>
    </fill>
    <fill>
      <patternFill patternType="solid">
        <fgColor rgb="FF333333"/>
        <bgColor indexed="64"/>
      </patternFill>
    </fill>
    <fill>
      <patternFill patternType="solid">
        <fgColor rgb="FF1A1A1A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E4D3F1"/>
        <bgColor indexed="64"/>
      </patternFill>
    </fill>
    <fill>
      <patternFill patternType="solid">
        <fgColor theme="1" tint="0.249977111117893"/>
        <bgColor indexed="64"/>
      </patternFill>
    </fill>
  </fills>
  <borders count="8">
    <border>
      <left/>
      <right/>
      <top/>
      <bottom/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/>
      <bottom style="hair">
        <color indexed="64"/>
      </bottom>
      <diagonal/>
    </border>
    <border>
      <left style="hair">
        <color auto="1"/>
      </left>
      <right/>
      <top style="hair">
        <color auto="1"/>
      </top>
      <bottom/>
      <diagonal/>
    </border>
    <border>
      <left/>
      <right/>
      <top style="hair">
        <color auto="1"/>
      </top>
      <bottom/>
      <diagonal/>
    </border>
    <border>
      <left style="hair">
        <color auto="1"/>
      </left>
      <right/>
      <top/>
      <bottom/>
      <diagonal/>
    </border>
    <border>
      <left style="hair">
        <color auto="1"/>
      </left>
      <right/>
      <top/>
      <bottom style="hair">
        <color auto="1"/>
      </bottom>
      <diagonal/>
    </border>
    <border>
      <left/>
      <right/>
      <top/>
      <bottom style="hair">
        <color auto="1"/>
      </bottom>
      <diagonal/>
    </border>
  </borders>
  <cellStyleXfs count="1">
    <xf numFmtId="0" fontId="0" fillId="0" borderId="0">
      <alignment vertical="center"/>
    </xf>
  </cellStyleXfs>
  <cellXfs count="109">
    <xf numFmtId="0" fontId="0" fillId="0" borderId="0" xfId="0">
      <alignment vertical="center"/>
    </xf>
    <xf numFmtId="0" fontId="0" fillId="0" borderId="1" xfId="0" applyBorder="1" applyAlignment="1">
      <alignment vertical="top"/>
    </xf>
    <xf numFmtId="14" fontId="0" fillId="0" borderId="1" xfId="0" applyNumberFormat="1" applyBorder="1" applyAlignment="1">
      <alignment vertical="top"/>
    </xf>
    <xf numFmtId="0" fontId="3" fillId="2" borderId="0" xfId="0" applyFont="1" applyFill="1">
      <alignment vertical="center"/>
    </xf>
    <xf numFmtId="0" fontId="0" fillId="0" borderId="1" xfId="0" applyBorder="1">
      <alignment vertical="center"/>
    </xf>
    <xf numFmtId="0" fontId="3" fillId="3" borderId="2" xfId="0" applyFont="1" applyFill="1" applyBorder="1" applyAlignment="1">
      <alignment vertical="top"/>
    </xf>
    <xf numFmtId="0" fontId="0" fillId="0" borderId="1" xfId="0" applyFill="1" applyBorder="1" applyAlignment="1">
      <alignment vertical="top"/>
    </xf>
    <xf numFmtId="0" fontId="0" fillId="4" borderId="1" xfId="0" applyFill="1" applyBorder="1" applyAlignment="1">
      <alignment vertical="top"/>
    </xf>
    <xf numFmtId="0" fontId="0" fillId="5" borderId="1" xfId="0" applyFill="1" applyBorder="1" applyAlignment="1">
      <alignment vertical="top"/>
    </xf>
    <xf numFmtId="0" fontId="3" fillId="2" borderId="1" xfId="0" applyFont="1" applyFill="1" applyBorder="1">
      <alignment vertical="center"/>
    </xf>
    <xf numFmtId="14" fontId="0" fillId="0" borderId="1" xfId="0" applyNumberFormat="1" applyBorder="1">
      <alignment vertical="center"/>
    </xf>
    <xf numFmtId="0" fontId="0" fillId="6" borderId="1" xfId="0" applyFill="1" applyBorder="1">
      <alignment vertical="center"/>
    </xf>
    <xf numFmtId="0" fontId="0" fillId="0" borderId="1" xfId="0" applyNumberFormat="1" applyBorder="1">
      <alignment vertical="center"/>
    </xf>
    <xf numFmtId="0" fontId="3" fillId="2" borderId="1" xfId="0" applyNumberFormat="1" applyFont="1" applyFill="1" applyBorder="1">
      <alignment vertical="center"/>
    </xf>
    <xf numFmtId="0" fontId="0" fillId="0" borderId="1" xfId="0" quotePrefix="1" applyNumberFormat="1" applyBorder="1">
      <alignment vertical="center"/>
    </xf>
    <xf numFmtId="0" fontId="0" fillId="7" borderId="1" xfId="0" applyFill="1" applyBorder="1">
      <alignment vertical="center"/>
    </xf>
    <xf numFmtId="0" fontId="0" fillId="8" borderId="1" xfId="0" applyFill="1" applyBorder="1">
      <alignment vertical="center"/>
    </xf>
    <xf numFmtId="0" fontId="0" fillId="9" borderId="1" xfId="0" applyFill="1" applyBorder="1">
      <alignment vertical="center"/>
    </xf>
    <xf numFmtId="0" fontId="0" fillId="10" borderId="1" xfId="0" applyFill="1" applyBorder="1">
      <alignment vertical="center"/>
    </xf>
    <xf numFmtId="0" fontId="0" fillId="11" borderId="1" xfId="0" applyFill="1" applyBorder="1">
      <alignment vertical="center"/>
    </xf>
    <xf numFmtId="0" fontId="0" fillId="12" borderId="1" xfId="0" applyFill="1" applyBorder="1">
      <alignment vertical="center"/>
    </xf>
    <xf numFmtId="0" fontId="0" fillId="13" borderId="1" xfId="0" applyFill="1" applyBorder="1">
      <alignment vertical="center"/>
    </xf>
    <xf numFmtId="0" fontId="0" fillId="14" borderId="1" xfId="0" applyFill="1" applyBorder="1">
      <alignment vertical="center"/>
    </xf>
    <xf numFmtId="0" fontId="0" fillId="0" borderId="1" xfId="0" quotePrefix="1" applyBorder="1">
      <alignment vertical="center"/>
    </xf>
    <xf numFmtId="0" fontId="0" fillId="0" borderId="1" xfId="0" quotePrefix="1" applyFill="1" applyBorder="1">
      <alignment vertical="center"/>
    </xf>
    <xf numFmtId="0" fontId="0" fillId="15" borderId="1" xfId="0" applyFill="1" applyBorder="1">
      <alignment vertical="center"/>
    </xf>
    <xf numFmtId="0" fontId="0" fillId="16" borderId="1" xfId="0" applyFill="1" applyBorder="1">
      <alignment vertical="center"/>
    </xf>
    <xf numFmtId="0" fontId="0" fillId="17" borderId="1" xfId="0" applyFill="1" applyBorder="1">
      <alignment vertical="center"/>
    </xf>
    <xf numFmtId="0" fontId="2" fillId="18" borderId="1" xfId="0" applyFont="1" applyFill="1" applyBorder="1">
      <alignment vertical="center"/>
    </xf>
    <xf numFmtId="0" fontId="4" fillId="19" borderId="1" xfId="0" applyFont="1" applyFill="1" applyBorder="1">
      <alignment vertical="center"/>
    </xf>
    <xf numFmtId="0" fontId="4" fillId="20" borderId="1" xfId="0" applyFont="1" applyFill="1" applyBorder="1">
      <alignment vertical="center"/>
    </xf>
    <xf numFmtId="0" fontId="4" fillId="21" borderId="1" xfId="0" applyFont="1" applyFill="1" applyBorder="1">
      <alignment vertical="center"/>
    </xf>
    <xf numFmtId="0" fontId="4" fillId="22" borderId="1" xfId="0" applyFont="1" applyFill="1" applyBorder="1">
      <alignment vertical="center"/>
    </xf>
    <xf numFmtId="0" fontId="4" fillId="23" borderId="1" xfId="0" applyFont="1" applyFill="1" applyBorder="1">
      <alignment vertical="center"/>
    </xf>
    <xf numFmtId="0" fontId="4" fillId="24" borderId="1" xfId="0" applyFont="1" applyFill="1" applyBorder="1">
      <alignment vertical="center"/>
    </xf>
    <xf numFmtId="0" fontId="0" fillId="25" borderId="1" xfId="0" applyFill="1" applyBorder="1">
      <alignment vertical="center"/>
    </xf>
    <xf numFmtId="0" fontId="0" fillId="10" borderId="1" xfId="0" applyFill="1" applyBorder="1" applyAlignment="1">
      <alignment vertical="top"/>
    </xf>
    <xf numFmtId="0" fontId="0" fillId="0" borderId="1" xfId="0" applyNumberFormat="1" applyBorder="1" applyAlignment="1">
      <alignment vertical="top"/>
    </xf>
    <xf numFmtId="0" fontId="3" fillId="3" borderId="2" xfId="0" applyNumberFormat="1" applyFont="1" applyFill="1" applyBorder="1" applyAlignment="1">
      <alignment vertical="top"/>
    </xf>
    <xf numFmtId="0" fontId="0" fillId="6" borderId="1" xfId="0" applyFill="1" applyBorder="1" applyAlignment="1">
      <alignment vertical="top"/>
    </xf>
    <xf numFmtId="0" fontId="0" fillId="7" borderId="1" xfId="0" applyFill="1" applyBorder="1" applyAlignment="1">
      <alignment vertical="top"/>
    </xf>
    <xf numFmtId="0" fontId="0" fillId="8" borderId="1" xfId="0" applyFill="1" applyBorder="1" applyAlignment="1">
      <alignment vertical="top"/>
    </xf>
    <xf numFmtId="0" fontId="0" fillId="9" borderId="1" xfId="0" applyFill="1" applyBorder="1" applyAlignment="1">
      <alignment vertical="top"/>
    </xf>
    <xf numFmtId="0" fontId="0" fillId="11" borderId="1" xfId="0" applyFill="1" applyBorder="1" applyAlignment="1">
      <alignment vertical="top"/>
    </xf>
    <xf numFmtId="0" fontId="0" fillId="12" borderId="1" xfId="0" applyFill="1" applyBorder="1" applyAlignment="1">
      <alignment vertical="top"/>
    </xf>
    <xf numFmtId="0" fontId="0" fillId="13" borderId="1" xfId="0" applyFill="1" applyBorder="1" applyAlignment="1">
      <alignment vertical="top"/>
    </xf>
    <xf numFmtId="0" fontId="0" fillId="14" borderId="1" xfId="0" applyFill="1" applyBorder="1" applyAlignment="1">
      <alignment vertical="top"/>
    </xf>
    <xf numFmtId="0" fontId="0" fillId="3" borderId="1" xfId="0" applyFill="1" applyBorder="1" applyAlignment="1">
      <alignment vertical="top"/>
    </xf>
    <xf numFmtId="0" fontId="0" fillId="0" borderId="7" xfId="0" applyBorder="1" applyAlignment="1">
      <alignment vertical="top"/>
    </xf>
    <xf numFmtId="0" fontId="0" fillId="0" borderId="7" xfId="0" applyNumberFormat="1" applyBorder="1" applyAlignment="1">
      <alignment vertical="top"/>
    </xf>
    <xf numFmtId="0" fontId="0" fillId="0" borderId="7" xfId="0" applyFill="1" applyBorder="1" applyAlignment="1">
      <alignment vertical="top"/>
    </xf>
    <xf numFmtId="0" fontId="0" fillId="0" borderId="0" xfId="0" applyBorder="1" applyAlignment="1">
      <alignment vertical="top"/>
    </xf>
    <xf numFmtId="0" fontId="0" fillId="0" borderId="0" xfId="0" applyNumberFormat="1" applyBorder="1" applyAlignment="1">
      <alignment vertical="top"/>
    </xf>
    <xf numFmtId="0" fontId="0" fillId="0" borderId="0" xfId="0" applyFill="1" applyBorder="1" applyAlignment="1">
      <alignment vertical="top"/>
    </xf>
    <xf numFmtId="0" fontId="5" fillId="0" borderId="0" xfId="0" applyFont="1" applyBorder="1" applyAlignment="1">
      <alignment vertical="top"/>
    </xf>
    <xf numFmtId="0" fontId="0" fillId="26" borderId="1" xfId="0" applyFill="1" applyBorder="1">
      <alignment vertical="center"/>
    </xf>
    <xf numFmtId="0" fontId="0" fillId="26" borderId="1" xfId="0" applyFill="1" applyBorder="1" applyAlignment="1">
      <alignment vertical="top"/>
    </xf>
    <xf numFmtId="14" fontId="0" fillId="6" borderId="1" xfId="0" applyNumberFormat="1" applyFill="1" applyBorder="1" applyAlignment="1">
      <alignment vertical="top"/>
    </xf>
    <xf numFmtId="0" fontId="0" fillId="6" borderId="1" xfId="0" applyNumberFormat="1" applyFill="1" applyBorder="1" applyAlignment="1">
      <alignment vertical="top"/>
    </xf>
    <xf numFmtId="0" fontId="0" fillId="7" borderId="1" xfId="0" applyFill="1" applyBorder="1" applyAlignment="1">
      <alignment horizontal="left" vertical="top" indent="1"/>
    </xf>
    <xf numFmtId="0" fontId="0" fillId="7" borderId="1" xfId="0" applyNumberFormat="1" applyFill="1" applyBorder="1" applyAlignment="1">
      <alignment vertical="top"/>
    </xf>
    <xf numFmtId="0" fontId="0" fillId="8" borderId="1" xfId="0" applyNumberFormat="1" applyFill="1" applyBorder="1" applyAlignment="1">
      <alignment vertical="top"/>
    </xf>
    <xf numFmtId="0" fontId="0" fillId="9" borderId="1" xfId="0" applyFill="1" applyBorder="1" applyAlignment="1">
      <alignment horizontal="left" vertical="top" indent="1"/>
    </xf>
    <xf numFmtId="0" fontId="0" fillId="9" borderId="1" xfId="0" applyNumberFormat="1" applyFill="1" applyBorder="1" applyAlignment="1">
      <alignment vertical="top"/>
    </xf>
    <xf numFmtId="0" fontId="0" fillId="10" borderId="1" xfId="0" applyFill="1" applyBorder="1" applyAlignment="1">
      <alignment horizontal="left" vertical="top" indent="1"/>
    </xf>
    <xf numFmtId="0" fontId="0" fillId="10" borderId="1" xfId="0" applyNumberFormat="1" applyFill="1" applyBorder="1" applyAlignment="1">
      <alignment vertical="top"/>
    </xf>
    <xf numFmtId="0" fontId="0" fillId="11" borderId="1" xfId="0" applyFill="1" applyBorder="1" applyAlignment="1">
      <alignment horizontal="left" vertical="top" indent="1"/>
    </xf>
    <xf numFmtId="0" fontId="0" fillId="11" borderId="1" xfId="0" applyNumberFormat="1" applyFill="1" applyBorder="1" applyAlignment="1">
      <alignment vertical="top"/>
    </xf>
    <xf numFmtId="0" fontId="0" fillId="26" borderId="1" xfId="0" applyFill="1" applyBorder="1" applyAlignment="1">
      <alignment horizontal="left" vertical="top" indent="1"/>
    </xf>
    <xf numFmtId="0" fontId="0" fillId="26" borderId="1" xfId="0" applyNumberFormat="1" applyFill="1" applyBorder="1" applyAlignment="1">
      <alignment vertical="top"/>
    </xf>
    <xf numFmtId="0" fontId="0" fillId="12" borderId="1" xfId="0" applyFill="1" applyBorder="1" applyAlignment="1">
      <alignment horizontal="left" vertical="top" indent="1"/>
    </xf>
    <xf numFmtId="0" fontId="0" fillId="12" borderId="1" xfId="0" applyNumberFormat="1" applyFill="1" applyBorder="1" applyAlignment="1">
      <alignment vertical="top"/>
    </xf>
    <xf numFmtId="0" fontId="0" fillId="13" borderId="1" xfId="0" applyFill="1" applyBorder="1" applyAlignment="1">
      <alignment horizontal="left" vertical="top" indent="1"/>
    </xf>
    <xf numFmtId="0" fontId="0" fillId="13" borderId="1" xfId="0" applyNumberFormat="1" applyFill="1" applyBorder="1" applyAlignment="1">
      <alignment vertical="top"/>
    </xf>
    <xf numFmtId="0" fontId="0" fillId="14" borderId="1" xfId="0" applyNumberFormat="1" applyFill="1" applyBorder="1" applyAlignment="1">
      <alignment vertical="top"/>
    </xf>
    <xf numFmtId="0" fontId="0" fillId="25" borderId="1" xfId="0" applyFill="1" applyBorder="1" applyAlignment="1">
      <alignment vertical="top"/>
    </xf>
    <xf numFmtId="0" fontId="0" fillId="15" borderId="1" xfId="0" applyFill="1" applyBorder="1" applyAlignment="1">
      <alignment vertical="top"/>
    </xf>
    <xf numFmtId="0" fontId="0" fillId="16" borderId="1" xfId="0" applyFill="1" applyBorder="1" applyAlignment="1">
      <alignment vertical="top"/>
    </xf>
    <xf numFmtId="0" fontId="0" fillId="17" borderId="1" xfId="0" applyFill="1" applyBorder="1" applyAlignment="1">
      <alignment vertical="top"/>
    </xf>
    <xf numFmtId="0" fontId="0" fillId="18" borderId="1" xfId="0" applyFill="1" applyBorder="1" applyAlignment="1">
      <alignment vertical="top"/>
    </xf>
    <xf numFmtId="0" fontId="0" fillId="19" borderId="1" xfId="0" applyFill="1" applyBorder="1" applyAlignment="1">
      <alignment vertical="top"/>
    </xf>
    <xf numFmtId="0" fontId="0" fillId="20" borderId="1" xfId="0" applyFill="1" applyBorder="1" applyAlignment="1">
      <alignment vertical="top"/>
    </xf>
    <xf numFmtId="0" fontId="0" fillId="21" borderId="1" xfId="0" applyFill="1" applyBorder="1" applyAlignment="1">
      <alignment vertical="top"/>
    </xf>
    <xf numFmtId="0" fontId="0" fillId="22" borderId="1" xfId="0" applyFill="1" applyBorder="1" applyAlignment="1">
      <alignment vertical="top"/>
    </xf>
    <xf numFmtId="0" fontId="0" fillId="23" borderId="1" xfId="0" applyFill="1" applyBorder="1" applyAlignment="1">
      <alignment vertical="top"/>
    </xf>
    <xf numFmtId="14" fontId="0" fillId="11" borderId="1" xfId="0" applyNumberFormat="1" applyFill="1" applyBorder="1" applyAlignment="1">
      <alignment vertical="top"/>
    </xf>
    <xf numFmtId="14" fontId="0" fillId="7" borderId="1" xfId="0" applyNumberFormat="1" applyFill="1" applyBorder="1" applyAlignment="1">
      <alignment vertical="top"/>
    </xf>
    <xf numFmtId="14" fontId="0" fillId="8" borderId="1" xfId="0" applyNumberFormat="1" applyFill="1" applyBorder="1" applyAlignment="1">
      <alignment vertical="top"/>
    </xf>
    <xf numFmtId="14" fontId="0" fillId="9" borderId="1" xfId="0" applyNumberFormat="1" applyFill="1" applyBorder="1" applyAlignment="1">
      <alignment vertical="top"/>
    </xf>
    <xf numFmtId="14" fontId="0" fillId="10" borderId="1" xfId="0" applyNumberFormat="1" applyFill="1" applyBorder="1" applyAlignment="1">
      <alignment vertical="top"/>
    </xf>
    <xf numFmtId="14" fontId="0" fillId="26" borderId="1" xfId="0" applyNumberFormat="1" applyFill="1" applyBorder="1" applyAlignment="1">
      <alignment vertical="top"/>
    </xf>
    <xf numFmtId="14" fontId="0" fillId="12" borderId="1" xfId="0" applyNumberFormat="1" applyFill="1" applyBorder="1" applyAlignment="1">
      <alignment vertical="top"/>
    </xf>
    <xf numFmtId="14" fontId="0" fillId="13" borderId="1" xfId="0" applyNumberFormat="1" applyFill="1" applyBorder="1" applyAlignment="1">
      <alignment vertical="top"/>
    </xf>
    <xf numFmtId="14" fontId="0" fillId="14" borderId="1" xfId="0" applyNumberFormat="1" applyFill="1" applyBorder="1" applyAlignment="1">
      <alignment vertical="top"/>
    </xf>
    <xf numFmtId="14" fontId="0" fillId="0" borderId="0" xfId="0" applyNumberFormat="1" applyBorder="1" applyAlignment="1">
      <alignment vertical="top"/>
    </xf>
    <xf numFmtId="14" fontId="0" fillId="0" borderId="7" xfId="0" applyNumberFormat="1" applyBorder="1" applyAlignment="1">
      <alignment vertical="top"/>
    </xf>
    <xf numFmtId="14" fontId="3" fillId="3" borderId="2" xfId="0" applyNumberFormat="1" applyFont="1" applyFill="1" applyBorder="1" applyAlignment="1">
      <alignment vertical="top"/>
    </xf>
    <xf numFmtId="0" fontId="2" fillId="27" borderId="4" xfId="0" applyNumberFormat="1" applyFont="1" applyFill="1" applyBorder="1" applyAlignment="1">
      <alignment vertical="top"/>
    </xf>
    <xf numFmtId="0" fontId="3" fillId="27" borderId="3" xfId="0" applyNumberFormat="1" applyFont="1" applyFill="1" applyBorder="1" applyAlignment="1">
      <alignment vertical="top"/>
    </xf>
    <xf numFmtId="0" fontId="3" fillId="27" borderId="4" xfId="0" applyNumberFormat="1" applyFont="1" applyFill="1" applyBorder="1" applyAlignment="1">
      <alignment vertical="top"/>
    </xf>
    <xf numFmtId="14" fontId="3" fillId="27" borderId="4" xfId="0" applyNumberFormat="1" applyFont="1" applyFill="1" applyBorder="1" applyAlignment="1">
      <alignment vertical="top"/>
    </xf>
    <xf numFmtId="0" fontId="3" fillId="27" borderId="5" xfId="0" applyNumberFormat="1" applyFont="1" applyFill="1" applyBorder="1" applyAlignment="1">
      <alignment horizontal="center" vertical="top"/>
    </xf>
    <xf numFmtId="0" fontId="3" fillId="27" borderId="0" xfId="0" applyNumberFormat="1" applyFont="1" applyFill="1" applyBorder="1" applyAlignment="1">
      <alignment horizontal="center" vertical="top"/>
    </xf>
    <xf numFmtId="14" fontId="3" fillId="27" borderId="0" xfId="0" applyNumberFormat="1" applyFont="1" applyFill="1" applyBorder="1" applyAlignment="1">
      <alignment horizontal="center" vertical="top"/>
    </xf>
    <xf numFmtId="0" fontId="4" fillId="27" borderId="0" xfId="0" applyNumberFormat="1" applyFont="1" applyFill="1" applyBorder="1" applyAlignment="1">
      <alignment vertical="top"/>
    </xf>
    <xf numFmtId="0" fontId="3" fillId="27" borderId="6" xfId="0" applyNumberFormat="1" applyFont="1" applyFill="1" applyBorder="1" applyAlignment="1">
      <alignment vertical="top"/>
    </xf>
    <xf numFmtId="0" fontId="3" fillId="27" borderId="7" xfId="0" applyNumberFormat="1" applyFont="1" applyFill="1" applyBorder="1" applyAlignment="1">
      <alignment vertical="top"/>
    </xf>
    <xf numFmtId="14" fontId="3" fillId="27" borderId="7" xfId="0" applyNumberFormat="1" applyFont="1" applyFill="1" applyBorder="1" applyAlignment="1">
      <alignment vertical="top"/>
    </xf>
    <xf numFmtId="0" fontId="2" fillId="27" borderId="7" xfId="0" applyNumberFormat="1" applyFont="1" applyFill="1" applyBorder="1" applyAlignment="1">
      <alignment vertical="top"/>
    </xf>
  </cellXfs>
  <cellStyles count="1">
    <cellStyle name="標準" xfId="0" builtinId="0"/>
  </cellStyles>
  <dxfs count="42">
    <dxf>
      <fill>
        <patternFill>
          <bgColor rgb="FFC0E2E6"/>
        </patternFill>
      </fill>
    </dxf>
    <dxf>
      <fill>
        <patternFill>
          <bgColor rgb="FFFDCF94"/>
        </patternFill>
      </fill>
    </dxf>
    <dxf>
      <fill>
        <patternFill>
          <bgColor rgb="FFDFDCD5"/>
        </patternFill>
      </fill>
    </dxf>
    <dxf>
      <fill>
        <patternFill>
          <bgColor rgb="FFF2F0DA"/>
        </patternFill>
      </fill>
    </dxf>
    <dxf>
      <fill>
        <patternFill>
          <bgColor rgb="FFFBCAD2"/>
        </patternFill>
      </fill>
    </dxf>
    <dxf>
      <fill>
        <patternFill>
          <bgColor rgb="FFA7EDA9"/>
        </patternFill>
      </fill>
    </dxf>
    <dxf>
      <fill>
        <patternFill>
          <bgColor rgb="FFE4D3F1"/>
        </patternFill>
      </fill>
    </dxf>
    <dxf>
      <fill>
        <patternFill>
          <bgColor rgb="FFFFACB7"/>
        </patternFill>
      </fill>
    </dxf>
    <dxf>
      <fill>
        <patternFill>
          <bgColor rgb="FFFEF28B"/>
        </patternFill>
      </fill>
    </dxf>
    <dxf>
      <fill>
        <patternFill>
          <bgColor rgb="FF9AE7D9"/>
        </patternFill>
      </fill>
    </dxf>
    <dxf>
      <fill>
        <patternFill>
          <bgColor theme="0"/>
        </patternFill>
      </fill>
    </dxf>
    <dxf>
      <fill>
        <patternFill>
          <bgColor rgb="FFF2F2F2"/>
        </patternFill>
      </fill>
    </dxf>
    <dxf>
      <fill>
        <patternFill>
          <bgColor rgb="FFE6E6E6"/>
        </patternFill>
      </fill>
    </dxf>
    <dxf>
      <fill>
        <patternFill>
          <bgColor rgb="FFCCCCCC"/>
        </patternFill>
      </fill>
    </dxf>
    <dxf>
      <font>
        <color theme="0"/>
      </font>
      <fill>
        <patternFill>
          <bgColor rgb="FFB3B3B3"/>
        </patternFill>
      </fill>
    </dxf>
    <dxf>
      <font>
        <color theme="0"/>
      </font>
      <fill>
        <patternFill>
          <bgColor rgb="FF999999"/>
        </patternFill>
      </fill>
    </dxf>
    <dxf>
      <font>
        <color theme="0"/>
      </font>
      <fill>
        <patternFill>
          <bgColor rgb="FF808080"/>
        </patternFill>
      </fill>
    </dxf>
    <dxf>
      <font>
        <color theme="0"/>
      </font>
      <fill>
        <patternFill>
          <bgColor rgb="FF666666"/>
        </patternFill>
      </fill>
    </dxf>
    <dxf>
      <font>
        <color theme="0"/>
      </font>
      <fill>
        <patternFill>
          <bgColor rgb="FF4D4D4D"/>
        </patternFill>
      </fill>
    </dxf>
    <dxf>
      <font>
        <color theme="0"/>
      </font>
      <fill>
        <patternFill>
          <bgColor rgb="FF333333"/>
        </patternFill>
      </fill>
    </dxf>
    <dxf>
      <font>
        <color theme="0"/>
      </font>
      <fill>
        <patternFill>
          <bgColor rgb="FF1A1A1A"/>
        </patternFill>
      </fill>
    </dxf>
    <dxf>
      <fill>
        <patternFill>
          <bgColor rgb="FFC0E2E6"/>
        </patternFill>
      </fill>
    </dxf>
    <dxf>
      <fill>
        <patternFill>
          <bgColor rgb="FFFDCF94"/>
        </patternFill>
      </fill>
    </dxf>
    <dxf>
      <fill>
        <patternFill>
          <bgColor rgb="FFDFDCD5"/>
        </patternFill>
      </fill>
    </dxf>
    <dxf>
      <fill>
        <patternFill>
          <bgColor rgb="FFF2F0DA"/>
        </patternFill>
      </fill>
    </dxf>
    <dxf>
      <fill>
        <patternFill>
          <bgColor rgb="FFFBCAD2"/>
        </patternFill>
      </fill>
    </dxf>
    <dxf>
      <fill>
        <patternFill>
          <bgColor rgb="FFA7EDA9"/>
        </patternFill>
      </fill>
    </dxf>
    <dxf>
      <fill>
        <patternFill>
          <bgColor rgb="FFE4D3F1"/>
        </patternFill>
      </fill>
    </dxf>
    <dxf>
      <fill>
        <patternFill>
          <bgColor rgb="FFFFACB7"/>
        </patternFill>
      </fill>
    </dxf>
    <dxf>
      <fill>
        <patternFill>
          <bgColor rgb="FFFEF28B"/>
        </patternFill>
      </fill>
    </dxf>
    <dxf>
      <fill>
        <patternFill>
          <bgColor rgb="FF9AE7D9"/>
        </patternFill>
      </fill>
    </dxf>
    <dxf>
      <fill>
        <patternFill>
          <bgColor theme="0"/>
        </patternFill>
      </fill>
    </dxf>
    <dxf>
      <fill>
        <patternFill>
          <bgColor rgb="FFF2F2F2"/>
        </patternFill>
      </fill>
    </dxf>
    <dxf>
      <fill>
        <patternFill>
          <bgColor rgb="FFE6E6E6"/>
        </patternFill>
      </fill>
    </dxf>
    <dxf>
      <fill>
        <patternFill>
          <bgColor rgb="FFCCCCCC"/>
        </patternFill>
      </fill>
    </dxf>
    <dxf>
      <font>
        <color theme="0"/>
      </font>
      <fill>
        <patternFill>
          <bgColor rgb="FFB3B3B3"/>
        </patternFill>
      </fill>
    </dxf>
    <dxf>
      <font>
        <color theme="0"/>
      </font>
      <fill>
        <patternFill>
          <bgColor rgb="FF999999"/>
        </patternFill>
      </fill>
    </dxf>
    <dxf>
      <font>
        <color theme="0"/>
      </font>
      <fill>
        <patternFill>
          <bgColor rgb="FF808080"/>
        </patternFill>
      </fill>
    </dxf>
    <dxf>
      <font>
        <color theme="0"/>
      </font>
      <fill>
        <patternFill>
          <bgColor rgb="FF666666"/>
        </patternFill>
      </fill>
    </dxf>
    <dxf>
      <font>
        <color theme="0"/>
      </font>
      <fill>
        <patternFill>
          <bgColor rgb="FF4D4D4D"/>
        </patternFill>
      </fill>
    </dxf>
    <dxf>
      <font>
        <color theme="0"/>
      </font>
      <fill>
        <patternFill>
          <bgColor rgb="FF333333"/>
        </patternFill>
      </fill>
    </dxf>
    <dxf>
      <font>
        <color theme="0"/>
      </font>
      <fill>
        <patternFill>
          <bgColor rgb="FF1A1A1A"/>
        </patternFill>
      </fill>
    </dxf>
  </dxfs>
  <tableStyles count="0" defaultTableStyle="TableStyleMedium2" defaultPivotStyle="PivotStyleLight16"/>
  <colors>
    <mruColors>
      <color rgb="FFE4D3F1"/>
      <color rgb="FFDAC3EB"/>
      <color rgb="FFD4BAE8"/>
      <color rgb="FFFFEBD1"/>
      <color rgb="FF00CC99"/>
      <color rgb="FF3EB05C"/>
      <color rgb="FF1A1A1A"/>
      <color rgb="FF333333"/>
      <color rgb="FF4D4D4D"/>
      <color rgb="FF666666"/>
    </mru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 ​​テーマ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MainSheet"/>
  <dimension ref="A1:BC38"/>
  <sheetViews>
    <sheetView tabSelected="1" zoomScaleNormal="100" workbookViewId="0">
      <pane xSplit="9" ySplit="5" topLeftCell="J6" activePane="bottomRight" state="frozen"/>
      <selection pane="topRight" activeCell="J1" sqref="J1"/>
      <selection pane="bottomLeft" activeCell="A4" sqref="A4"/>
      <selection pane="bottomRight" activeCell="A11" sqref="A11"/>
    </sheetView>
  </sheetViews>
  <sheetFormatPr defaultRowHeight="16.5" x14ac:dyDescent="0.4"/>
  <cols>
    <col min="1" max="1" width="16.25" style="1" customWidth="1"/>
    <col min="2" max="2" width="4" style="1" customWidth="1"/>
    <col min="3" max="3" width="12.5" style="1" customWidth="1"/>
    <col min="4" max="4" width="9" style="1" customWidth="1"/>
    <col min="5" max="5" width="11.25" style="2" customWidth="1"/>
    <col min="6" max="7" width="9" style="37" bestFit="1" customWidth="1"/>
    <col min="8" max="8" width="11.25" style="2" customWidth="1"/>
    <col min="9" max="9" width="9" style="1" customWidth="1"/>
    <col min="10" max="375" width="3" style="6" customWidth="1"/>
    <col min="376" max="16384" width="9" style="6"/>
  </cols>
  <sheetData>
    <row r="1" spans="1:40" s="53" customFormat="1" x14ac:dyDescent="0.4">
      <c r="A1" s="54" t="s">
        <v>96</v>
      </c>
      <c r="B1" s="51"/>
      <c r="C1" s="51"/>
      <c r="D1" s="51"/>
      <c r="E1" s="94"/>
      <c r="F1" s="52"/>
      <c r="G1" s="52"/>
      <c r="H1" s="94"/>
      <c r="I1" s="51"/>
      <c r="J1" s="53" t="str">
        <f>member!$B$2</f>
        <v>member0</v>
      </c>
      <c r="N1" s="53" t="str">
        <f>member!$B$3</f>
        <v>member1</v>
      </c>
      <c r="R1" s="53" t="str">
        <f>member!$B$4</f>
        <v>member2</v>
      </c>
      <c r="V1" s="53" t="str">
        <f>member!$B$5</f>
        <v>member3</v>
      </c>
      <c r="Z1" s="53" t="str">
        <f>member!$B$6</f>
        <v>member4</v>
      </c>
    </row>
    <row r="2" spans="1:40" s="50" customFormat="1" x14ac:dyDescent="0.4">
      <c r="A2" s="48"/>
      <c r="B2" s="48"/>
      <c r="C2" s="48"/>
      <c r="D2" s="48"/>
      <c r="E2" s="95"/>
      <c r="F2" s="49"/>
      <c r="G2" s="49"/>
      <c r="H2" s="95"/>
      <c r="I2" s="48"/>
      <c r="J2" s="53" t="str">
        <f>member!$B$7</f>
        <v>member5</v>
      </c>
      <c r="K2" s="53"/>
      <c r="L2" s="53"/>
      <c r="M2" s="53"/>
      <c r="N2" s="53" t="str">
        <f>member!$B$8</f>
        <v>member6</v>
      </c>
      <c r="O2" s="53"/>
      <c r="P2" s="53"/>
      <c r="Q2" s="53"/>
      <c r="R2" s="53" t="str">
        <f>member!$B$9</f>
        <v>member7</v>
      </c>
      <c r="S2" s="53"/>
      <c r="T2" s="53"/>
      <c r="U2" s="53"/>
      <c r="V2" s="53" t="str">
        <f>member!$B$10</f>
        <v>member8</v>
      </c>
      <c r="W2" s="53"/>
      <c r="X2" s="53"/>
      <c r="Y2" s="53"/>
      <c r="Z2" s="53" t="str">
        <f>member!$B$11</f>
        <v>member9</v>
      </c>
    </row>
    <row r="3" spans="1:40" s="97" customFormat="1" ht="19.5" customHeight="1" x14ac:dyDescent="0.4">
      <c r="A3" s="98"/>
      <c r="B3" s="99"/>
      <c r="C3" s="99"/>
      <c r="D3" s="99"/>
      <c r="E3" s="100"/>
      <c r="F3" s="99"/>
      <c r="G3" s="99"/>
      <c r="H3" s="100"/>
      <c r="I3" s="99"/>
      <c r="J3" s="97">
        <v>7</v>
      </c>
    </row>
    <row r="4" spans="1:40" s="104" customFormat="1" x14ac:dyDescent="0.4">
      <c r="A4" s="101" t="s">
        <v>65</v>
      </c>
      <c r="B4" s="102" t="s">
        <v>56</v>
      </c>
      <c r="C4" s="102" t="s">
        <v>57</v>
      </c>
      <c r="D4" s="102" t="s">
        <v>58</v>
      </c>
      <c r="E4" s="103" t="s">
        <v>59</v>
      </c>
      <c r="F4" s="102" t="s">
        <v>60</v>
      </c>
      <c r="G4" s="102" t="s">
        <v>61</v>
      </c>
      <c r="H4" s="103" t="s">
        <v>62</v>
      </c>
      <c r="I4" s="102" t="s">
        <v>63</v>
      </c>
      <c r="J4" s="104">
        <v>1</v>
      </c>
      <c r="K4" s="104">
        <v>2</v>
      </c>
      <c r="L4" s="104">
        <v>3</v>
      </c>
      <c r="M4" s="104">
        <v>4</v>
      </c>
      <c r="N4" s="104">
        <v>5</v>
      </c>
      <c r="O4" s="104">
        <v>6</v>
      </c>
      <c r="P4" s="104">
        <v>7</v>
      </c>
      <c r="Q4" s="104">
        <v>8</v>
      </c>
      <c r="R4" s="104">
        <v>9</v>
      </c>
      <c r="S4" s="104">
        <v>10</v>
      </c>
      <c r="T4" s="104">
        <v>11</v>
      </c>
      <c r="U4" s="104">
        <v>12</v>
      </c>
      <c r="V4" s="104">
        <v>13</v>
      </c>
      <c r="W4" s="104">
        <v>14</v>
      </c>
      <c r="X4" s="104">
        <v>15</v>
      </c>
      <c r="Y4" s="104">
        <v>16</v>
      </c>
      <c r="Z4" s="104">
        <v>17</v>
      </c>
      <c r="AA4" s="104">
        <v>18</v>
      </c>
      <c r="AB4" s="104">
        <v>19</v>
      </c>
      <c r="AC4" s="104">
        <v>20</v>
      </c>
      <c r="AD4" s="104">
        <v>21</v>
      </c>
      <c r="AE4" s="104">
        <v>22</v>
      </c>
      <c r="AF4" s="104">
        <v>23</v>
      </c>
      <c r="AG4" s="104">
        <v>24</v>
      </c>
      <c r="AH4" s="104">
        <v>25</v>
      </c>
      <c r="AI4" s="104">
        <v>26</v>
      </c>
      <c r="AJ4" s="104">
        <v>27</v>
      </c>
      <c r="AK4" s="104">
        <v>28</v>
      </c>
      <c r="AL4" s="104">
        <v>29</v>
      </c>
      <c r="AM4" s="104">
        <v>30</v>
      </c>
      <c r="AN4" s="104">
        <v>31</v>
      </c>
    </row>
    <row r="5" spans="1:40" s="108" customFormat="1" x14ac:dyDescent="0.4">
      <c r="A5" s="105"/>
      <c r="B5" s="106"/>
      <c r="C5" s="106"/>
      <c r="D5" s="106"/>
      <c r="E5" s="107"/>
      <c r="F5" s="106"/>
      <c r="G5" s="106"/>
      <c r="H5" s="107"/>
      <c r="I5" s="106"/>
      <c r="J5" s="108" t="s">
        <v>34</v>
      </c>
      <c r="K5" s="108" t="s">
        <v>36</v>
      </c>
      <c r="L5" s="108" t="s">
        <v>38</v>
      </c>
      <c r="M5" s="108" t="s">
        <v>28</v>
      </c>
      <c r="N5" s="108" t="s">
        <v>26</v>
      </c>
      <c r="O5" s="108" t="s">
        <v>31</v>
      </c>
      <c r="P5" s="108" t="s">
        <v>47</v>
      </c>
      <c r="Q5" s="108" t="s">
        <v>34</v>
      </c>
      <c r="R5" s="108" t="s">
        <v>36</v>
      </c>
      <c r="S5" s="108" t="s">
        <v>38</v>
      </c>
      <c r="T5" s="108" t="s">
        <v>28</v>
      </c>
      <c r="U5" s="108" t="s">
        <v>26</v>
      </c>
      <c r="V5" s="108" t="s">
        <v>31</v>
      </c>
      <c r="W5" s="108" t="s">
        <v>47</v>
      </c>
      <c r="X5" s="108" t="s">
        <v>34</v>
      </c>
      <c r="Y5" s="108" t="s">
        <v>36</v>
      </c>
      <c r="Z5" s="108" t="s">
        <v>38</v>
      </c>
      <c r="AA5" s="108" t="s">
        <v>28</v>
      </c>
      <c r="AB5" s="108" t="s">
        <v>26</v>
      </c>
      <c r="AC5" s="108" t="s">
        <v>31</v>
      </c>
      <c r="AD5" s="108" t="s">
        <v>47</v>
      </c>
      <c r="AE5" s="108" t="s">
        <v>34</v>
      </c>
      <c r="AF5" s="108" t="s">
        <v>36</v>
      </c>
      <c r="AG5" s="108" t="s">
        <v>38</v>
      </c>
      <c r="AH5" s="108" t="s">
        <v>28</v>
      </c>
      <c r="AI5" s="108" t="s">
        <v>26</v>
      </c>
      <c r="AJ5" s="108" t="s">
        <v>31</v>
      </c>
      <c r="AK5" s="108" t="s">
        <v>47</v>
      </c>
      <c r="AL5" s="108" t="s">
        <v>34</v>
      </c>
      <c r="AM5" s="108" t="s">
        <v>36</v>
      </c>
      <c r="AN5" s="108" t="s">
        <v>38</v>
      </c>
    </row>
    <row r="6" spans="1:40" s="5" customFormat="1" x14ac:dyDescent="0.4">
      <c r="C6" s="5" t="s">
        <v>18</v>
      </c>
      <c r="E6" s="96"/>
      <c r="F6" s="38"/>
      <c r="G6" s="38"/>
      <c r="H6" s="96"/>
    </row>
    <row r="7" spans="1:40" x14ac:dyDescent="0.4">
      <c r="A7" s="6"/>
      <c r="B7" s="39">
        <v>1</v>
      </c>
      <c r="C7" s="39" t="s">
        <v>0</v>
      </c>
      <c r="D7" s="57" t="s">
        <v>1</v>
      </c>
      <c r="E7" s="57">
        <v>42552</v>
      </c>
      <c r="F7" s="58">
        <v>1</v>
      </c>
      <c r="G7" s="58">
        <v>1</v>
      </c>
      <c r="H7" s="57">
        <f>getEndDate()</f>
        <v>42552</v>
      </c>
      <c r="I7" s="75" t="s">
        <v>16</v>
      </c>
      <c r="J7" s="39"/>
      <c r="K7" s="7"/>
      <c r="L7" s="8"/>
      <c r="R7" s="7"/>
      <c r="S7" s="8"/>
      <c r="Y7" s="7"/>
      <c r="Z7" s="8"/>
      <c r="AA7" s="8"/>
      <c r="AF7" s="7"/>
      <c r="AG7" s="8"/>
      <c r="AM7" s="7"/>
      <c r="AN7" s="8"/>
    </row>
    <row r="8" spans="1:40" x14ac:dyDescent="0.4">
      <c r="A8" s="6"/>
      <c r="B8" s="40">
        <f>nextId(curtAddr())</f>
        <v>2</v>
      </c>
      <c r="C8" s="59" t="s">
        <v>73</v>
      </c>
      <c r="D8" s="40" t="s">
        <v>66</v>
      </c>
      <c r="E8" s="86">
        <f>getStartDate()</f>
        <v>42555</v>
      </c>
      <c r="F8" s="60">
        <v>1</v>
      </c>
      <c r="G8" s="60">
        <v>1</v>
      </c>
      <c r="H8" s="86">
        <f>getEndDate()</f>
        <v>42555</v>
      </c>
      <c r="I8" s="76" t="s">
        <v>21</v>
      </c>
      <c r="K8" s="7"/>
      <c r="L8" s="8"/>
      <c r="M8" s="40"/>
      <c r="R8" s="7"/>
      <c r="S8" s="8"/>
      <c r="Y8" s="7"/>
      <c r="Z8" s="8"/>
      <c r="AA8" s="8"/>
      <c r="AF8" s="7"/>
      <c r="AG8" s="8"/>
      <c r="AM8" s="7"/>
      <c r="AN8" s="8"/>
    </row>
    <row r="9" spans="1:40" x14ac:dyDescent="0.4">
      <c r="A9" s="6"/>
      <c r="B9" s="41">
        <f>nextId(curtAddr())</f>
        <v>3</v>
      </c>
      <c r="C9" s="41" t="s">
        <v>2</v>
      </c>
      <c r="D9" s="41" t="s">
        <v>3</v>
      </c>
      <c r="E9" s="87">
        <f>getStartDate()</f>
        <v>42556</v>
      </c>
      <c r="F9" s="61">
        <v>1</v>
      </c>
      <c r="G9" s="61">
        <v>1</v>
      </c>
      <c r="H9" s="87">
        <f t="shared" ref="H9:H38" si="0">getEndDate()</f>
        <v>42556</v>
      </c>
      <c r="I9" s="77" t="s">
        <v>22</v>
      </c>
      <c r="K9" s="7"/>
      <c r="L9" s="8"/>
      <c r="N9" s="41"/>
      <c r="R9" s="7"/>
      <c r="S9" s="8"/>
      <c r="Y9" s="7"/>
      <c r="Z9" s="8"/>
      <c r="AA9" s="8"/>
      <c r="AF9" s="7"/>
      <c r="AG9" s="8"/>
      <c r="AM9" s="7"/>
      <c r="AN9" s="8"/>
    </row>
    <row r="10" spans="1:40" x14ac:dyDescent="0.4">
      <c r="A10" s="6"/>
      <c r="B10" s="42">
        <f>nextId(curtAddr())</f>
        <v>4</v>
      </c>
      <c r="C10" s="62" t="s">
        <v>4</v>
      </c>
      <c r="D10" s="42" t="s">
        <v>5</v>
      </c>
      <c r="E10" s="88">
        <f t="shared" ref="E10:E38" si="1">getStartDate()</f>
        <v>42557</v>
      </c>
      <c r="F10" s="63">
        <v>1</v>
      </c>
      <c r="G10" s="63">
        <v>1</v>
      </c>
      <c r="H10" s="88">
        <f>getEndDate()</f>
        <v>42557</v>
      </c>
      <c r="I10" s="78" t="s">
        <v>94</v>
      </c>
      <c r="K10" s="7"/>
      <c r="L10" s="8"/>
      <c r="O10" s="42"/>
      <c r="R10" s="7"/>
      <c r="S10" s="8"/>
      <c r="Y10" s="7"/>
      <c r="Z10" s="8"/>
      <c r="AA10" s="8"/>
      <c r="AF10" s="7"/>
      <c r="AG10" s="8"/>
      <c r="AM10" s="7"/>
      <c r="AN10" s="8"/>
    </row>
    <row r="11" spans="1:40" x14ac:dyDescent="0.4">
      <c r="A11" s="6"/>
      <c r="B11" s="36">
        <f>nextId(curtAddr())</f>
        <v>5</v>
      </c>
      <c r="C11" s="64" t="s">
        <v>6</v>
      </c>
      <c r="D11" s="36" t="s">
        <v>7</v>
      </c>
      <c r="E11" s="89">
        <f t="shared" si="1"/>
        <v>42558</v>
      </c>
      <c r="F11" s="65">
        <v>1</v>
      </c>
      <c r="G11" s="65">
        <v>1</v>
      </c>
      <c r="H11" s="89">
        <f t="shared" si="0"/>
        <v>42558</v>
      </c>
      <c r="I11" s="79" t="s">
        <v>23</v>
      </c>
      <c r="K11" s="7"/>
      <c r="L11" s="8"/>
      <c r="P11" s="36"/>
      <c r="R11" s="7"/>
      <c r="S11" s="8"/>
      <c r="Y11" s="7"/>
      <c r="Z11" s="8"/>
      <c r="AA11" s="8"/>
      <c r="AF11" s="7"/>
      <c r="AG11" s="8"/>
      <c r="AM11" s="7"/>
      <c r="AN11" s="8"/>
    </row>
    <row r="12" spans="1:40" x14ac:dyDescent="0.4">
      <c r="A12" s="6"/>
      <c r="B12" s="43">
        <f>nextId(curtAddr())</f>
        <v>6</v>
      </c>
      <c r="C12" s="66" t="s">
        <v>8</v>
      </c>
      <c r="D12" s="43" t="s">
        <v>9</v>
      </c>
      <c r="E12" s="85">
        <f t="shared" si="1"/>
        <v>42559</v>
      </c>
      <c r="F12" s="67">
        <v>1</v>
      </c>
      <c r="G12" s="67">
        <v>1</v>
      </c>
      <c r="H12" s="85">
        <f t="shared" si="0"/>
        <v>42559</v>
      </c>
      <c r="I12" s="80" t="s">
        <v>69</v>
      </c>
      <c r="K12" s="7"/>
      <c r="L12" s="8"/>
      <c r="Q12" s="43"/>
      <c r="R12" s="7"/>
      <c r="S12" s="8"/>
      <c r="Y12" s="7"/>
      <c r="Z12" s="8"/>
      <c r="AA12" s="8"/>
      <c r="AF12" s="7"/>
      <c r="AG12" s="8"/>
      <c r="AM12" s="7"/>
      <c r="AN12" s="8"/>
    </row>
    <row r="13" spans="1:40" x14ac:dyDescent="0.4">
      <c r="A13" s="6"/>
      <c r="B13" s="56">
        <f>nextId(curtAddr())</f>
        <v>7</v>
      </c>
      <c r="C13" s="68" t="s">
        <v>6</v>
      </c>
      <c r="D13" s="56" t="s">
        <v>10</v>
      </c>
      <c r="E13" s="90">
        <f t="shared" si="1"/>
        <v>42562</v>
      </c>
      <c r="F13" s="69">
        <v>1</v>
      </c>
      <c r="G13" s="69">
        <v>1</v>
      </c>
      <c r="H13" s="90">
        <f t="shared" si="0"/>
        <v>42562</v>
      </c>
      <c r="I13" s="81" t="s">
        <v>72</v>
      </c>
      <c r="K13" s="7"/>
      <c r="L13" s="8"/>
      <c r="R13" s="7"/>
      <c r="S13" s="8"/>
      <c r="T13" s="56"/>
      <c r="Y13" s="7"/>
      <c r="Z13" s="8"/>
      <c r="AA13" s="8"/>
      <c r="AF13" s="7"/>
      <c r="AG13" s="8"/>
      <c r="AM13" s="7"/>
      <c r="AN13" s="8"/>
    </row>
    <row r="14" spans="1:40" x14ac:dyDescent="0.4">
      <c r="A14" s="6"/>
      <c r="B14" s="44">
        <f>nextId(curtAddr())</f>
        <v>8</v>
      </c>
      <c r="C14" s="70" t="s">
        <v>8</v>
      </c>
      <c r="D14" s="44" t="s">
        <v>11</v>
      </c>
      <c r="E14" s="91">
        <f t="shared" si="1"/>
        <v>42563</v>
      </c>
      <c r="F14" s="71">
        <v>1</v>
      </c>
      <c r="G14" s="71">
        <v>1</v>
      </c>
      <c r="H14" s="91">
        <f t="shared" si="0"/>
        <v>42563</v>
      </c>
      <c r="I14" s="82" t="s">
        <v>17</v>
      </c>
      <c r="K14" s="7"/>
      <c r="L14" s="8"/>
      <c r="R14" s="7"/>
      <c r="S14" s="8"/>
      <c r="U14" s="44"/>
      <c r="Y14" s="7"/>
      <c r="Z14" s="8"/>
      <c r="AA14" s="8"/>
      <c r="AF14" s="7"/>
      <c r="AG14" s="8"/>
      <c r="AM14" s="7"/>
      <c r="AN14" s="8"/>
    </row>
    <row r="15" spans="1:40" x14ac:dyDescent="0.4">
      <c r="A15" s="6"/>
      <c r="B15" s="45">
        <f>nextId(curtAddr())</f>
        <v>9</v>
      </c>
      <c r="C15" s="72" t="s">
        <v>12</v>
      </c>
      <c r="D15" s="45" t="s">
        <v>13</v>
      </c>
      <c r="E15" s="92">
        <f t="shared" si="1"/>
        <v>42564</v>
      </c>
      <c r="F15" s="73">
        <v>1</v>
      </c>
      <c r="G15" s="73">
        <v>1</v>
      </c>
      <c r="H15" s="92">
        <f t="shared" si="0"/>
        <v>42564</v>
      </c>
      <c r="I15" s="83" t="s">
        <v>70</v>
      </c>
      <c r="K15" s="7"/>
      <c r="L15" s="8"/>
      <c r="R15" s="7"/>
      <c r="S15" s="8"/>
      <c r="V15" s="45"/>
      <c r="Y15" s="7"/>
      <c r="Z15" s="8"/>
      <c r="AA15" s="8"/>
      <c r="AF15" s="7"/>
      <c r="AG15" s="8"/>
      <c r="AM15" s="7"/>
      <c r="AN15" s="8"/>
    </row>
    <row r="16" spans="1:40" x14ac:dyDescent="0.4">
      <c r="A16" s="6"/>
      <c r="B16" s="46">
        <f>nextId(curtAddr())</f>
        <v>10</v>
      </c>
      <c r="C16" s="46" t="s">
        <v>14</v>
      </c>
      <c r="D16" s="46" t="s">
        <v>15</v>
      </c>
      <c r="E16" s="93">
        <f t="shared" si="1"/>
        <v>42565</v>
      </c>
      <c r="F16" s="74">
        <v>1</v>
      </c>
      <c r="G16" s="74">
        <v>1</v>
      </c>
      <c r="H16" s="93">
        <f t="shared" si="0"/>
        <v>42565</v>
      </c>
      <c r="I16" s="84" t="s">
        <v>67</v>
      </c>
      <c r="K16" s="7"/>
      <c r="L16" s="8"/>
      <c r="R16" s="7"/>
      <c r="S16" s="8"/>
      <c r="W16" s="46"/>
      <c r="Y16" s="7"/>
      <c r="Z16" s="8"/>
      <c r="AA16" s="8"/>
      <c r="AF16" s="7"/>
      <c r="AG16" s="8"/>
      <c r="AM16" s="7"/>
      <c r="AN16" s="8"/>
    </row>
    <row r="17" spans="1:44" s="5" customFormat="1" x14ac:dyDescent="0.4">
      <c r="C17" s="5" t="s">
        <v>18</v>
      </c>
      <c r="E17" s="96"/>
      <c r="F17" s="38"/>
      <c r="G17" s="38"/>
      <c r="H17" s="96"/>
    </row>
    <row r="18" spans="1:44" x14ac:dyDescent="0.4">
      <c r="A18" s="6"/>
      <c r="B18" s="39">
        <f>nextId(curtAddr())</f>
        <v>11</v>
      </c>
      <c r="C18" s="39" t="s">
        <v>0</v>
      </c>
      <c r="D18" s="39" t="s">
        <v>1</v>
      </c>
      <c r="E18" s="57">
        <f t="shared" si="1"/>
        <v>42566</v>
      </c>
      <c r="F18" s="58">
        <v>1</v>
      </c>
      <c r="G18" s="58">
        <v>1</v>
      </c>
      <c r="H18" s="57">
        <f t="shared" si="0"/>
        <v>42566</v>
      </c>
      <c r="I18" s="75" t="s">
        <v>16</v>
      </c>
      <c r="K18" s="7"/>
      <c r="L18" s="8"/>
      <c r="R18" s="7"/>
      <c r="S18" s="8"/>
      <c r="X18" s="39"/>
      <c r="Y18" s="7"/>
      <c r="Z18" s="8"/>
      <c r="AA18" s="8"/>
      <c r="AF18" s="7"/>
      <c r="AG18" s="8"/>
      <c r="AM18" s="7"/>
      <c r="AN18" s="8"/>
    </row>
    <row r="19" spans="1:44" x14ac:dyDescent="0.4">
      <c r="A19" s="6"/>
      <c r="B19" s="40">
        <f>nextId(curtAddr())</f>
        <v>12</v>
      </c>
      <c r="C19" s="59" t="s">
        <v>73</v>
      </c>
      <c r="D19" s="40" t="s">
        <v>66</v>
      </c>
      <c r="E19" s="86">
        <f t="shared" si="1"/>
        <v>42570</v>
      </c>
      <c r="F19" s="60">
        <v>1</v>
      </c>
      <c r="G19" s="60">
        <v>1</v>
      </c>
      <c r="H19" s="86">
        <f t="shared" si="0"/>
        <v>42570</v>
      </c>
      <c r="I19" s="76" t="s">
        <v>21</v>
      </c>
      <c r="K19" s="7"/>
      <c r="L19" s="8"/>
      <c r="R19" s="7"/>
      <c r="S19" s="8"/>
      <c r="Y19" s="7"/>
      <c r="Z19" s="8"/>
      <c r="AA19" s="8"/>
      <c r="AB19" s="40"/>
      <c r="AF19" s="7"/>
      <c r="AG19" s="8"/>
      <c r="AM19" s="7"/>
      <c r="AN19" s="8"/>
    </row>
    <row r="20" spans="1:44" x14ac:dyDescent="0.4">
      <c r="A20" s="6"/>
      <c r="B20" s="41">
        <f>nextId(curtAddr())</f>
        <v>13</v>
      </c>
      <c r="C20" s="41" t="s">
        <v>2</v>
      </c>
      <c r="D20" s="41" t="s">
        <v>3</v>
      </c>
      <c r="E20" s="87">
        <f t="shared" si="1"/>
        <v>42571</v>
      </c>
      <c r="F20" s="61">
        <v>1</v>
      </c>
      <c r="G20" s="61">
        <v>1</v>
      </c>
      <c r="H20" s="87">
        <f t="shared" si="0"/>
        <v>42571</v>
      </c>
      <c r="I20" s="77" t="s">
        <v>22</v>
      </c>
      <c r="K20" s="7"/>
      <c r="L20" s="8"/>
      <c r="R20" s="7"/>
      <c r="S20" s="8"/>
      <c r="Y20" s="7"/>
      <c r="Z20" s="8"/>
      <c r="AA20" s="8"/>
      <c r="AC20" s="41"/>
      <c r="AF20" s="7"/>
      <c r="AG20" s="8"/>
      <c r="AM20" s="7"/>
      <c r="AN20" s="8"/>
    </row>
    <row r="21" spans="1:44" x14ac:dyDescent="0.4">
      <c r="A21" s="6"/>
      <c r="B21" s="42">
        <f>nextId(curtAddr())</f>
        <v>14</v>
      </c>
      <c r="C21" s="62" t="s">
        <v>4</v>
      </c>
      <c r="D21" s="42" t="s">
        <v>5</v>
      </c>
      <c r="E21" s="88">
        <f t="shared" si="1"/>
        <v>42572</v>
      </c>
      <c r="F21" s="63">
        <v>1</v>
      </c>
      <c r="G21" s="63">
        <v>1</v>
      </c>
      <c r="H21" s="88">
        <f t="shared" si="0"/>
        <v>42572</v>
      </c>
      <c r="I21" s="78" t="s">
        <v>94</v>
      </c>
      <c r="K21" s="7"/>
      <c r="L21" s="8"/>
      <c r="R21" s="7"/>
      <c r="S21" s="8"/>
      <c r="Y21" s="7"/>
      <c r="Z21" s="8"/>
      <c r="AA21" s="8"/>
      <c r="AD21" s="42"/>
      <c r="AF21" s="7"/>
      <c r="AG21" s="8"/>
      <c r="AM21" s="7"/>
      <c r="AN21" s="8"/>
    </row>
    <row r="22" spans="1:44" x14ac:dyDescent="0.4">
      <c r="A22" s="6"/>
      <c r="B22" s="36">
        <f>nextId(curtAddr())</f>
        <v>15</v>
      </c>
      <c r="C22" s="64" t="s">
        <v>6</v>
      </c>
      <c r="D22" s="36" t="s">
        <v>7</v>
      </c>
      <c r="E22" s="89">
        <f t="shared" si="1"/>
        <v>42573</v>
      </c>
      <c r="F22" s="65">
        <v>1</v>
      </c>
      <c r="G22" s="65">
        <v>1</v>
      </c>
      <c r="H22" s="89">
        <f t="shared" si="0"/>
        <v>42573</v>
      </c>
      <c r="I22" s="79" t="s">
        <v>23</v>
      </c>
      <c r="K22" s="7"/>
      <c r="L22" s="8"/>
      <c r="R22" s="7"/>
      <c r="S22" s="8"/>
      <c r="Y22" s="7"/>
      <c r="Z22" s="8"/>
      <c r="AA22" s="8"/>
      <c r="AE22" s="36"/>
      <c r="AF22" s="7"/>
      <c r="AG22" s="8"/>
      <c r="AM22" s="7"/>
      <c r="AN22" s="8"/>
    </row>
    <row r="23" spans="1:44" x14ac:dyDescent="0.4">
      <c r="A23" s="6"/>
      <c r="B23" s="43">
        <f>nextId(curtAddr())</f>
        <v>16</v>
      </c>
      <c r="C23" s="66" t="s">
        <v>8</v>
      </c>
      <c r="D23" s="43" t="s">
        <v>9</v>
      </c>
      <c r="E23" s="85">
        <f t="shared" si="1"/>
        <v>42576</v>
      </c>
      <c r="F23" s="67">
        <v>1</v>
      </c>
      <c r="G23" s="67">
        <v>1</v>
      </c>
      <c r="H23" s="85">
        <f>getEndDate()</f>
        <v>42576</v>
      </c>
      <c r="I23" s="80" t="s">
        <v>69</v>
      </c>
      <c r="K23" s="7"/>
      <c r="L23" s="8"/>
      <c r="R23" s="7"/>
      <c r="S23" s="8"/>
      <c r="Y23" s="7"/>
      <c r="Z23" s="8"/>
      <c r="AA23" s="8"/>
      <c r="AF23" s="7"/>
      <c r="AG23" s="8"/>
      <c r="AH23" s="43"/>
      <c r="AM23" s="7"/>
      <c r="AN23" s="8"/>
    </row>
    <row r="24" spans="1:44" x14ac:dyDescent="0.4">
      <c r="A24" s="6"/>
      <c r="B24" s="56">
        <f>nextId(curtAddr())</f>
        <v>17</v>
      </c>
      <c r="C24" s="68" t="s">
        <v>6</v>
      </c>
      <c r="D24" s="56" t="s">
        <v>10</v>
      </c>
      <c r="E24" s="90">
        <f>getStartDate()</f>
        <v>42577</v>
      </c>
      <c r="F24" s="69">
        <v>1</v>
      </c>
      <c r="G24" s="69">
        <v>1</v>
      </c>
      <c r="H24" s="90">
        <f t="shared" si="0"/>
        <v>42577</v>
      </c>
      <c r="I24" s="81" t="s">
        <v>72</v>
      </c>
      <c r="K24" s="7"/>
      <c r="L24" s="8"/>
      <c r="R24" s="7"/>
      <c r="S24" s="8"/>
      <c r="Y24" s="7"/>
      <c r="Z24" s="8"/>
      <c r="AA24" s="8"/>
      <c r="AF24" s="7"/>
      <c r="AG24" s="8"/>
      <c r="AI24" s="56"/>
      <c r="AM24" s="7"/>
      <c r="AN24" s="8"/>
    </row>
    <row r="25" spans="1:44" x14ac:dyDescent="0.4">
      <c r="A25" s="6"/>
      <c r="B25" s="44">
        <f>nextId(curtAddr())</f>
        <v>18</v>
      </c>
      <c r="C25" s="70" t="s">
        <v>8</v>
      </c>
      <c r="D25" s="44" t="s">
        <v>11</v>
      </c>
      <c r="E25" s="91">
        <f t="shared" si="1"/>
        <v>42578</v>
      </c>
      <c r="F25" s="71">
        <v>1</v>
      </c>
      <c r="G25" s="71">
        <v>1</v>
      </c>
      <c r="H25" s="91">
        <f t="shared" si="0"/>
        <v>42578</v>
      </c>
      <c r="I25" s="82" t="s">
        <v>17</v>
      </c>
      <c r="K25" s="7"/>
      <c r="L25" s="8"/>
      <c r="R25" s="7"/>
      <c r="S25" s="8"/>
      <c r="Y25" s="7"/>
      <c r="Z25" s="8"/>
      <c r="AA25" s="8"/>
      <c r="AF25" s="7"/>
      <c r="AG25" s="8"/>
      <c r="AJ25" s="44"/>
      <c r="AM25" s="7"/>
      <c r="AN25" s="8"/>
    </row>
    <row r="26" spans="1:44" x14ac:dyDescent="0.4">
      <c r="A26" s="6"/>
      <c r="B26" s="45">
        <f>nextId(curtAddr())</f>
        <v>19</v>
      </c>
      <c r="C26" s="72" t="s">
        <v>12</v>
      </c>
      <c r="D26" s="45" t="s">
        <v>13</v>
      </c>
      <c r="E26" s="92">
        <f t="shared" si="1"/>
        <v>42579</v>
      </c>
      <c r="F26" s="73">
        <v>1</v>
      </c>
      <c r="G26" s="73">
        <v>1</v>
      </c>
      <c r="H26" s="92">
        <f t="shared" si="0"/>
        <v>42579</v>
      </c>
      <c r="I26" s="83" t="s">
        <v>70</v>
      </c>
      <c r="K26" s="7"/>
      <c r="L26" s="8"/>
      <c r="R26" s="7"/>
      <c r="S26" s="8"/>
      <c r="Y26" s="7"/>
      <c r="Z26" s="8"/>
      <c r="AA26" s="8"/>
      <c r="AF26" s="7"/>
      <c r="AG26" s="8"/>
      <c r="AK26" s="45"/>
      <c r="AM26" s="7"/>
      <c r="AN26" s="8"/>
    </row>
    <row r="27" spans="1:44" x14ac:dyDescent="0.4">
      <c r="A27" s="6"/>
      <c r="B27" s="46">
        <f>nextId(curtAddr())</f>
        <v>20</v>
      </c>
      <c r="C27" s="46" t="s">
        <v>14</v>
      </c>
      <c r="D27" s="46" t="s">
        <v>15</v>
      </c>
      <c r="E27" s="93">
        <f t="shared" si="1"/>
        <v>42580</v>
      </c>
      <c r="F27" s="74">
        <v>1</v>
      </c>
      <c r="G27" s="74">
        <v>1</v>
      </c>
      <c r="H27" s="93">
        <f t="shared" si="0"/>
        <v>42580</v>
      </c>
      <c r="I27" s="84" t="s">
        <v>67</v>
      </c>
      <c r="K27" s="7"/>
      <c r="L27" s="8"/>
      <c r="R27" s="7"/>
      <c r="S27" s="8"/>
      <c r="Y27" s="7"/>
      <c r="Z27" s="8"/>
      <c r="AA27" s="8"/>
      <c r="AF27" s="7"/>
      <c r="AG27" s="8"/>
      <c r="AL27" s="46"/>
      <c r="AM27" s="7"/>
      <c r="AN27" s="8"/>
    </row>
    <row r="28" spans="1:44" s="47" customFormat="1" x14ac:dyDescent="0.4">
      <c r="A28" s="5"/>
      <c r="B28" s="5"/>
      <c r="C28" s="5" t="s">
        <v>18</v>
      </c>
      <c r="D28" s="5"/>
      <c r="E28" s="96"/>
      <c r="F28" s="38"/>
      <c r="G28" s="38"/>
      <c r="H28" s="96"/>
      <c r="I28" s="5"/>
    </row>
    <row r="29" spans="1:44" x14ac:dyDescent="0.4">
      <c r="A29" s="6"/>
      <c r="B29" s="39">
        <f>nextId(curtAddr())</f>
        <v>21</v>
      </c>
      <c r="C29" s="39" t="s">
        <v>0</v>
      </c>
      <c r="D29" s="39" t="s">
        <v>1</v>
      </c>
      <c r="E29" s="57">
        <f t="shared" si="1"/>
        <v>42583</v>
      </c>
      <c r="F29" s="58">
        <v>1</v>
      </c>
      <c r="G29" s="58">
        <v>1</v>
      </c>
      <c r="H29" s="57">
        <f t="shared" si="0"/>
        <v>42583</v>
      </c>
      <c r="I29" s="75" t="s">
        <v>16</v>
      </c>
      <c r="K29" s="7"/>
      <c r="L29" s="8"/>
      <c r="R29" s="7"/>
      <c r="S29" s="8"/>
      <c r="Y29" s="7"/>
      <c r="Z29" s="8"/>
      <c r="AA29" s="8"/>
      <c r="AF29" s="7"/>
      <c r="AG29" s="8"/>
      <c r="AM29" s="7"/>
      <c r="AN29" s="8"/>
      <c r="AO29" s="39"/>
    </row>
    <row r="30" spans="1:44" x14ac:dyDescent="0.4">
      <c r="A30" s="6"/>
      <c r="B30" s="40">
        <f>nextId(curtAddr())</f>
        <v>22</v>
      </c>
      <c r="C30" s="59" t="s">
        <v>73</v>
      </c>
      <c r="D30" s="40" t="s">
        <v>66</v>
      </c>
      <c r="E30" s="86">
        <f t="shared" si="1"/>
        <v>42584</v>
      </c>
      <c r="F30" s="60">
        <v>1</v>
      </c>
      <c r="G30" s="60">
        <v>1</v>
      </c>
      <c r="H30" s="86">
        <f t="shared" si="0"/>
        <v>42584</v>
      </c>
      <c r="I30" s="76" t="s">
        <v>21</v>
      </c>
      <c r="K30" s="7"/>
      <c r="L30" s="8"/>
      <c r="R30" s="7"/>
      <c r="S30" s="8"/>
      <c r="Y30" s="7"/>
      <c r="Z30" s="8"/>
      <c r="AA30" s="8"/>
      <c r="AF30" s="7"/>
      <c r="AG30" s="8"/>
      <c r="AM30" s="7"/>
      <c r="AN30" s="8"/>
      <c r="AP30" s="40"/>
    </row>
    <row r="31" spans="1:44" x14ac:dyDescent="0.4">
      <c r="A31" s="6"/>
      <c r="B31" s="41">
        <f>nextId(curtAddr())</f>
        <v>23</v>
      </c>
      <c r="C31" s="41" t="s">
        <v>2</v>
      </c>
      <c r="D31" s="41" t="s">
        <v>3</v>
      </c>
      <c r="E31" s="87">
        <f t="shared" si="1"/>
        <v>42585</v>
      </c>
      <c r="F31" s="61">
        <v>1</v>
      </c>
      <c r="G31" s="61">
        <v>1</v>
      </c>
      <c r="H31" s="87">
        <f t="shared" si="0"/>
        <v>42585</v>
      </c>
      <c r="I31" s="77" t="s">
        <v>22</v>
      </c>
      <c r="K31" s="7"/>
      <c r="L31" s="8"/>
      <c r="R31" s="7"/>
      <c r="S31" s="8"/>
      <c r="Y31" s="7"/>
      <c r="Z31" s="8"/>
      <c r="AA31" s="8"/>
      <c r="AF31" s="7"/>
      <c r="AG31" s="8"/>
      <c r="AM31" s="7"/>
      <c r="AN31" s="8"/>
      <c r="AQ31" s="41"/>
    </row>
    <row r="32" spans="1:44" x14ac:dyDescent="0.4">
      <c r="A32" s="6"/>
      <c r="B32" s="42">
        <f>nextId(curtAddr())</f>
        <v>24</v>
      </c>
      <c r="C32" s="62" t="s">
        <v>4</v>
      </c>
      <c r="D32" s="42" t="s">
        <v>5</v>
      </c>
      <c r="E32" s="88">
        <f t="shared" si="1"/>
        <v>42586</v>
      </c>
      <c r="F32" s="63">
        <v>1</v>
      </c>
      <c r="G32" s="63">
        <v>1</v>
      </c>
      <c r="H32" s="88">
        <f t="shared" si="0"/>
        <v>42586</v>
      </c>
      <c r="I32" s="78" t="s">
        <v>94</v>
      </c>
      <c r="K32" s="7"/>
      <c r="L32" s="8"/>
      <c r="R32" s="7"/>
      <c r="S32" s="8"/>
      <c r="Y32" s="7"/>
      <c r="Z32" s="8"/>
      <c r="AA32" s="8"/>
      <c r="AF32" s="7"/>
      <c r="AG32" s="8"/>
      <c r="AM32" s="7"/>
      <c r="AN32" s="8"/>
      <c r="AR32" s="42"/>
    </row>
    <row r="33" spans="1:55" x14ac:dyDescent="0.4">
      <c r="A33" s="6"/>
      <c r="B33" s="36">
        <f>nextId(curtAddr())</f>
        <v>25</v>
      </c>
      <c r="C33" s="64" t="s">
        <v>6</v>
      </c>
      <c r="D33" s="36" t="s">
        <v>7</v>
      </c>
      <c r="E33" s="89">
        <f t="shared" si="1"/>
        <v>42587</v>
      </c>
      <c r="F33" s="65">
        <v>1</v>
      </c>
      <c r="G33" s="65">
        <v>1</v>
      </c>
      <c r="H33" s="89">
        <f t="shared" si="0"/>
        <v>42587</v>
      </c>
      <c r="I33" s="79" t="s">
        <v>23</v>
      </c>
      <c r="K33" s="7"/>
      <c r="L33" s="8"/>
      <c r="R33" s="7"/>
      <c r="S33" s="8"/>
      <c r="Y33" s="7"/>
      <c r="Z33" s="8"/>
      <c r="AA33" s="8"/>
      <c r="AF33" s="7"/>
      <c r="AG33" s="8"/>
      <c r="AM33" s="7"/>
      <c r="AN33" s="8"/>
      <c r="AS33" s="36"/>
    </row>
    <row r="34" spans="1:55" x14ac:dyDescent="0.4">
      <c r="A34" s="6"/>
      <c r="B34" s="43">
        <f>nextId(curtAddr())</f>
        <v>26</v>
      </c>
      <c r="C34" s="66" t="s">
        <v>8</v>
      </c>
      <c r="D34" s="43" t="s">
        <v>9</v>
      </c>
      <c r="E34" s="85">
        <f t="shared" si="1"/>
        <v>42590</v>
      </c>
      <c r="F34" s="67">
        <v>1</v>
      </c>
      <c r="G34" s="67">
        <v>1</v>
      </c>
      <c r="H34" s="85">
        <f t="shared" si="0"/>
        <v>42590</v>
      </c>
      <c r="I34" s="80" t="s">
        <v>69</v>
      </c>
      <c r="K34" s="7"/>
      <c r="L34" s="8"/>
      <c r="R34" s="7"/>
      <c r="S34" s="8"/>
      <c r="Y34" s="7"/>
      <c r="Z34" s="8"/>
      <c r="AA34" s="8"/>
      <c r="AF34" s="7"/>
      <c r="AG34" s="8"/>
      <c r="AM34" s="7"/>
      <c r="AN34" s="8"/>
      <c r="AV34" s="43"/>
    </row>
    <row r="35" spans="1:55" x14ac:dyDescent="0.4">
      <c r="A35" s="6"/>
      <c r="B35" s="56">
        <f>nextId(curtAddr())</f>
        <v>27</v>
      </c>
      <c r="C35" s="68" t="s">
        <v>6</v>
      </c>
      <c r="D35" s="56" t="s">
        <v>10</v>
      </c>
      <c r="E35" s="90">
        <f t="shared" si="1"/>
        <v>42591</v>
      </c>
      <c r="F35" s="69">
        <v>1</v>
      </c>
      <c r="G35" s="69">
        <v>1</v>
      </c>
      <c r="H35" s="90">
        <f t="shared" si="0"/>
        <v>42591</v>
      </c>
      <c r="I35" s="81" t="s">
        <v>72</v>
      </c>
      <c r="K35" s="7"/>
      <c r="L35" s="8"/>
      <c r="R35" s="7"/>
      <c r="S35" s="8"/>
      <c r="Y35" s="7"/>
      <c r="Z35" s="8"/>
      <c r="AA35" s="8"/>
      <c r="AF35" s="7"/>
      <c r="AG35" s="8"/>
      <c r="AM35" s="7"/>
      <c r="AN35" s="8"/>
      <c r="AW35" s="56"/>
    </row>
    <row r="36" spans="1:55" x14ac:dyDescent="0.4">
      <c r="A36" s="6"/>
      <c r="B36" s="44">
        <f>nextId(curtAddr())</f>
        <v>28</v>
      </c>
      <c r="C36" s="70" t="s">
        <v>8</v>
      </c>
      <c r="D36" s="44" t="s">
        <v>11</v>
      </c>
      <c r="E36" s="91">
        <f t="shared" si="1"/>
        <v>42592</v>
      </c>
      <c r="F36" s="71">
        <v>1</v>
      </c>
      <c r="G36" s="71">
        <v>1</v>
      </c>
      <c r="H36" s="91">
        <f t="shared" si="0"/>
        <v>42592</v>
      </c>
      <c r="I36" s="82" t="s">
        <v>17</v>
      </c>
      <c r="K36" s="7"/>
      <c r="L36" s="8"/>
      <c r="R36" s="7"/>
      <c r="S36" s="8"/>
      <c r="Y36" s="7"/>
      <c r="Z36" s="8"/>
      <c r="AA36" s="8"/>
      <c r="AF36" s="7"/>
      <c r="AG36" s="8"/>
      <c r="AM36" s="7"/>
      <c r="AN36" s="8"/>
      <c r="AX36" s="44"/>
    </row>
    <row r="37" spans="1:55" x14ac:dyDescent="0.4">
      <c r="A37" s="6"/>
      <c r="B37" s="45">
        <f>nextId(curtAddr())</f>
        <v>29</v>
      </c>
      <c r="C37" s="72" t="s">
        <v>12</v>
      </c>
      <c r="D37" s="45" t="s">
        <v>13</v>
      </c>
      <c r="E37" s="92">
        <f t="shared" si="1"/>
        <v>42594</v>
      </c>
      <c r="F37" s="73">
        <v>1</v>
      </c>
      <c r="G37" s="73">
        <v>1</v>
      </c>
      <c r="H37" s="92">
        <f t="shared" si="0"/>
        <v>42594</v>
      </c>
      <c r="I37" s="83" t="s">
        <v>70</v>
      </c>
      <c r="K37" s="7"/>
      <c r="L37" s="8"/>
      <c r="R37" s="7"/>
      <c r="S37" s="8"/>
      <c r="Y37" s="7"/>
      <c r="Z37" s="8"/>
      <c r="AA37" s="8"/>
      <c r="AF37" s="7"/>
      <c r="AG37" s="8"/>
      <c r="AM37" s="7"/>
      <c r="AN37" s="8"/>
      <c r="AZ37" s="45"/>
    </row>
    <row r="38" spans="1:55" x14ac:dyDescent="0.4">
      <c r="A38" s="6"/>
      <c r="B38" s="46">
        <f>nextId(curtAddr())</f>
        <v>30</v>
      </c>
      <c r="C38" s="46" t="s">
        <v>14</v>
      </c>
      <c r="D38" s="46" t="s">
        <v>15</v>
      </c>
      <c r="E38" s="93">
        <f t="shared" si="1"/>
        <v>42597</v>
      </c>
      <c r="F38" s="74">
        <v>1</v>
      </c>
      <c r="G38" s="74">
        <v>1</v>
      </c>
      <c r="H38" s="93">
        <f t="shared" si="0"/>
        <v>42597</v>
      </c>
      <c r="I38" s="84" t="s">
        <v>67</v>
      </c>
      <c r="K38" s="7"/>
      <c r="L38" s="8"/>
      <c r="R38" s="7"/>
      <c r="S38" s="8"/>
      <c r="Y38" s="7"/>
      <c r="Z38" s="8"/>
      <c r="AA38" s="8"/>
      <c r="AF38" s="7"/>
      <c r="AG38" s="8"/>
      <c r="AM38" s="7"/>
      <c r="AN38" s="8"/>
      <c r="BC38" s="46"/>
    </row>
  </sheetData>
  <phoneticPr fontId="1"/>
  <conditionalFormatting sqref="N1:P1 R1:T1 V1:X1 A1:I2 J1:L1 AB1:XFD2 Z1 A3:XFD1048576">
    <cfRule type="cellIs" dxfId="41" priority="22" operator="equal">
      <formula>INDIRECT(CONCATENATE("status!","$B","$12"))</formula>
    </cfRule>
    <cfRule type="cellIs" dxfId="40" priority="23" operator="equal">
      <formula>INDIRECT(CONCATENATE("status!","$B","$11"))</formula>
    </cfRule>
    <cfRule type="cellIs" dxfId="39" priority="24" operator="equal">
      <formula>INDIRECT(CONCATENATE("status!","$B","$10"))</formula>
    </cfRule>
    <cfRule type="cellIs" dxfId="38" priority="25" operator="equal">
      <formula>INDIRECT(CONCATENATE("status!","$B","$9"))</formula>
    </cfRule>
    <cfRule type="cellIs" dxfId="37" priority="26" operator="equal">
      <formula>INDIRECT(CONCATENATE("status!","$B","$8"))</formula>
    </cfRule>
    <cfRule type="cellIs" dxfId="36" priority="27" operator="equal">
      <formula>INDIRECT(CONCATENATE("status!","$B","$7"))</formula>
    </cfRule>
    <cfRule type="cellIs" dxfId="35" priority="28" operator="equal">
      <formula>INDIRECT(CONCATENATE("status!","$B","$6"))</formula>
    </cfRule>
    <cfRule type="cellIs" dxfId="34" priority="29" operator="equal">
      <formula>INDIRECT(CONCATENATE("status!","$B","$5"))</formula>
    </cfRule>
    <cfRule type="cellIs" dxfId="33" priority="30" operator="equal">
      <formula>INDIRECT(CONCATENATE("status!","$B","$4"))</formula>
    </cfRule>
    <cfRule type="cellIs" dxfId="32" priority="31" operator="equal">
      <formula>INDIRECT(CONCATENATE("status!","$B","$3"))</formula>
    </cfRule>
    <cfRule type="cellIs" dxfId="31" priority="32" operator="equal">
      <formula>INDIRECT(CONCATENATE("status!","$B","$2"))</formula>
    </cfRule>
    <cfRule type="cellIs" dxfId="30" priority="33" operator="equal">
      <formula>INDIRECT(CONCATENATE("member!","$B","$11"))</formula>
    </cfRule>
    <cfRule type="cellIs" dxfId="29" priority="34" operator="equal">
      <formula>INDIRECT(CONCATENATE("member!","$B","$10"))</formula>
    </cfRule>
    <cfRule type="cellIs" dxfId="28" priority="35" operator="equal">
      <formula>INDIRECT(CONCATENATE("member!","$B","$9"))</formula>
    </cfRule>
    <cfRule type="cellIs" dxfId="27" priority="36" operator="equal">
      <formula>INDIRECT(CONCATENATE("member!","$B","$8"))</formula>
    </cfRule>
    <cfRule type="cellIs" dxfId="26" priority="37" operator="equal">
      <formula>INDIRECT(CONCATENATE("member!","$B","$7"))</formula>
    </cfRule>
    <cfRule type="cellIs" dxfId="25" priority="38" operator="equal">
      <formula>INDIRECT(CONCATENATE("member!","$B","$6"))</formula>
    </cfRule>
    <cfRule type="cellIs" dxfId="24" priority="39" operator="equal">
      <formula>INDIRECT(CONCATENATE("member!","$B","$5"))</formula>
    </cfRule>
    <cfRule type="cellIs" dxfId="23" priority="40" operator="equal">
      <formula>INDIRECT(CONCATENATE("member!","$B","$4"))</formula>
    </cfRule>
    <cfRule type="cellIs" dxfId="22" priority="41" operator="equal">
      <formula>INDIRECT(CONCATENATE("member!","$B","$3"))</formula>
    </cfRule>
    <cfRule type="cellIs" dxfId="21" priority="42" operator="equal">
      <formula>INDIRECT(CONCATENATE("member!","$B","$2"))</formula>
    </cfRule>
  </conditionalFormatting>
  <conditionalFormatting sqref="J2:L2 N2:P2 R2:T2 V2:X2 Z2">
    <cfRule type="cellIs" dxfId="20" priority="1" operator="equal">
      <formula>INDIRECT(CONCATENATE("status!","$B","$12"))</formula>
    </cfRule>
    <cfRule type="cellIs" dxfId="19" priority="2" operator="equal">
      <formula>INDIRECT(CONCATENATE("status!","$B","$11"))</formula>
    </cfRule>
    <cfRule type="cellIs" dxfId="18" priority="3" operator="equal">
      <formula>INDIRECT(CONCATENATE("status!","$B","$10"))</formula>
    </cfRule>
    <cfRule type="cellIs" dxfId="17" priority="4" operator="equal">
      <formula>INDIRECT(CONCATENATE("status!","$B","$9"))</formula>
    </cfRule>
    <cfRule type="cellIs" dxfId="16" priority="5" operator="equal">
      <formula>INDIRECT(CONCATENATE("status!","$B","$8"))</formula>
    </cfRule>
    <cfRule type="cellIs" dxfId="15" priority="6" operator="equal">
      <formula>INDIRECT(CONCATENATE("status!","$B","$7"))</formula>
    </cfRule>
    <cfRule type="cellIs" dxfId="14" priority="7" operator="equal">
      <formula>INDIRECT(CONCATENATE("status!","$B","$6"))</formula>
    </cfRule>
    <cfRule type="cellIs" dxfId="13" priority="8" operator="equal">
      <formula>INDIRECT(CONCATENATE("status!","$B","$5"))</formula>
    </cfRule>
    <cfRule type="cellIs" dxfId="12" priority="9" operator="equal">
      <formula>INDIRECT(CONCATENATE("status!","$B","$4"))</formula>
    </cfRule>
    <cfRule type="cellIs" dxfId="11" priority="10" operator="equal">
      <formula>INDIRECT(CONCATENATE("status!","$B","$3"))</formula>
    </cfRule>
    <cfRule type="cellIs" dxfId="10" priority="11" operator="equal">
      <formula>INDIRECT(CONCATENATE("status!","$B","$2"))</formula>
    </cfRule>
    <cfRule type="cellIs" dxfId="9" priority="12" operator="equal">
      <formula>INDIRECT(CONCATENATE("member!","$B","$11"))</formula>
    </cfRule>
    <cfRule type="cellIs" dxfId="8" priority="13" operator="equal">
      <formula>INDIRECT(CONCATENATE("member!","$B","$10"))</formula>
    </cfRule>
    <cfRule type="cellIs" dxfId="7" priority="14" operator="equal">
      <formula>INDIRECT(CONCATENATE("member!","$B","$9"))</formula>
    </cfRule>
    <cfRule type="cellIs" dxfId="6" priority="15" operator="equal">
      <formula>INDIRECT(CONCATENATE("member!","$B","$8"))</formula>
    </cfRule>
    <cfRule type="cellIs" dxfId="5" priority="16" operator="equal">
      <formula>INDIRECT(CONCATENATE("member!","$B","$7"))</formula>
    </cfRule>
    <cfRule type="cellIs" dxfId="4" priority="17" operator="equal">
      <formula>INDIRECT(CONCATENATE("member!","$B","$6"))</formula>
    </cfRule>
    <cfRule type="cellIs" dxfId="3" priority="18" operator="equal">
      <formula>INDIRECT(CONCATENATE("member!","$B","$5"))</formula>
    </cfRule>
    <cfRule type="cellIs" dxfId="2" priority="19" operator="equal">
      <formula>INDIRECT(CONCATENATE("member!","$B","$4"))</formula>
    </cfRule>
    <cfRule type="cellIs" dxfId="1" priority="20" operator="equal">
      <formula>INDIRECT(CONCATENATE("member!","$B","$3"))</formula>
    </cfRule>
    <cfRule type="cellIs" dxfId="0" priority="21" operator="equal">
      <formula>INDIRECT(CONCATENATE("member!","$B","$2"))</formula>
    </cfRule>
  </conditionalFormatting>
  <dataValidations disablePrompts="1" count="2">
    <dataValidation type="list" allowBlank="1" showInputMessage="1" showErrorMessage="1" sqref="D7:D16 D18:D27 D29:D38">
      <formula1>INDIRECT(CONCATENATE("member!","$B$2",":","$B$100"))</formula1>
    </dataValidation>
    <dataValidation type="list" allowBlank="1" showInputMessage="1" showErrorMessage="1" sqref="I7:I16 I18:I27 I29:I38">
      <formula1>INDIRECT(CONCATENATE("status!","$B$2",":","$B$100"))</formula1>
    </dataValidation>
  </dataValidations>
  <pageMargins left="0.3888888888888889" right="0.3888888888888889" top="0.3888888888888889" bottom="0.3888888888888889" header="0.19685039370078741" footer="0.19685039370078741"/>
  <pageSetup paperSize="8" orientation="landscape" horizontalDpi="300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lidaySheet">
    <tabColor rgb="FF00B050"/>
  </sheetPr>
  <dimension ref="A1:D355"/>
  <sheetViews>
    <sheetView workbookViewId="0">
      <pane ySplit="1" topLeftCell="A2" activePane="bottomLeft" state="frozen"/>
      <selection activeCell="D25" sqref="D25"/>
      <selection pane="bottomLeft" activeCell="B57" sqref="B57"/>
    </sheetView>
  </sheetViews>
  <sheetFormatPr defaultRowHeight="16.5" x14ac:dyDescent="0.4"/>
  <cols>
    <col min="1" max="1" width="4.5" style="4" bestFit="1" customWidth="1"/>
    <col min="2" max="2" width="11.125" style="4" bestFit="1" customWidth="1"/>
    <col min="3" max="3" width="9.875" style="4" bestFit="1" customWidth="1"/>
    <col min="4" max="4" width="11.5" style="4" bestFit="1" customWidth="1"/>
  </cols>
  <sheetData>
    <row r="1" spans="1:4" s="3" customFormat="1" x14ac:dyDescent="0.4">
      <c r="A1" s="9" t="s">
        <v>51</v>
      </c>
      <c r="B1" s="9" t="s">
        <v>54</v>
      </c>
      <c r="C1" s="9" t="s">
        <v>55</v>
      </c>
      <c r="D1" s="9" t="s">
        <v>53</v>
      </c>
    </row>
    <row r="2" spans="1:4" x14ac:dyDescent="0.4">
      <c r="A2" s="4">
        <v>1</v>
      </c>
      <c r="B2" s="10">
        <v>41275</v>
      </c>
      <c r="C2" s="4" t="s">
        <v>26</v>
      </c>
      <c r="D2" s="4" t="s">
        <v>25</v>
      </c>
    </row>
    <row r="3" spans="1:4" x14ac:dyDescent="0.4">
      <c r="A3" s="4">
        <f t="shared" ref="A3:A11" ca="1" si="0">INDIRECT(ADDRESS(ROW()-1,COLUMN()),TRUE)+1</f>
        <v>2</v>
      </c>
      <c r="B3" s="10">
        <v>41288</v>
      </c>
      <c r="C3" s="4" t="s">
        <v>28</v>
      </c>
      <c r="D3" s="4" t="s">
        <v>27</v>
      </c>
    </row>
    <row r="4" spans="1:4" x14ac:dyDescent="0.4">
      <c r="A4" s="4">
        <f t="shared" ca="1" si="0"/>
        <v>3</v>
      </c>
      <c r="B4" s="10">
        <v>41316</v>
      </c>
      <c r="C4" s="4" t="s">
        <v>28</v>
      </c>
      <c r="D4" s="4" t="s">
        <v>29</v>
      </c>
    </row>
    <row r="5" spans="1:4" x14ac:dyDescent="0.4">
      <c r="A5" s="4">
        <f t="shared" ca="1" si="0"/>
        <v>4</v>
      </c>
      <c r="B5" s="10">
        <v>41353</v>
      </c>
      <c r="C5" s="4" t="s">
        <v>31</v>
      </c>
      <c r="D5" s="4" t="s">
        <v>30</v>
      </c>
    </row>
    <row r="6" spans="1:4" x14ac:dyDescent="0.4">
      <c r="A6" s="4">
        <f t="shared" ca="1" si="0"/>
        <v>5</v>
      </c>
      <c r="B6" s="10">
        <v>41393</v>
      </c>
      <c r="C6" s="4" t="s">
        <v>28</v>
      </c>
      <c r="D6" s="4" t="s">
        <v>32</v>
      </c>
    </row>
    <row r="7" spans="1:4" x14ac:dyDescent="0.4">
      <c r="A7" s="4">
        <f t="shared" ca="1" si="0"/>
        <v>6</v>
      </c>
      <c r="B7" s="10">
        <v>41397</v>
      </c>
      <c r="C7" s="4" t="s">
        <v>34</v>
      </c>
      <c r="D7" s="4" t="s">
        <v>33</v>
      </c>
    </row>
    <row r="8" spans="1:4" x14ac:dyDescent="0.4">
      <c r="A8" s="4">
        <f t="shared" ca="1" si="0"/>
        <v>7</v>
      </c>
      <c r="B8" s="10">
        <v>41398</v>
      </c>
      <c r="C8" s="4" t="s">
        <v>36</v>
      </c>
      <c r="D8" s="4" t="s">
        <v>35</v>
      </c>
    </row>
    <row r="9" spans="1:4" x14ac:dyDescent="0.4">
      <c r="A9" s="4">
        <f t="shared" ca="1" si="0"/>
        <v>8</v>
      </c>
      <c r="B9" s="10">
        <v>41399</v>
      </c>
      <c r="C9" s="4" t="s">
        <v>38</v>
      </c>
      <c r="D9" s="4" t="s">
        <v>37</v>
      </c>
    </row>
    <row r="10" spans="1:4" x14ac:dyDescent="0.4">
      <c r="A10" s="4">
        <f t="shared" ca="1" si="0"/>
        <v>9</v>
      </c>
      <c r="B10" s="10">
        <v>41400</v>
      </c>
      <c r="C10" s="4" t="s">
        <v>28</v>
      </c>
      <c r="D10" s="4" t="s">
        <v>39</v>
      </c>
    </row>
    <row r="11" spans="1:4" x14ac:dyDescent="0.4">
      <c r="A11" s="4">
        <f t="shared" ca="1" si="0"/>
        <v>10</v>
      </c>
      <c r="B11" s="10">
        <v>41470</v>
      </c>
      <c r="C11" s="4" t="s">
        <v>28</v>
      </c>
      <c r="D11" s="4" t="s">
        <v>40</v>
      </c>
    </row>
    <row r="12" spans="1:4" x14ac:dyDescent="0.4">
      <c r="A12" s="4">
        <f t="shared" ref="A12:A75" ca="1" si="1">INDIRECT(ADDRESS(ROW()-1,COLUMN()),TRUE)+1</f>
        <v>11</v>
      </c>
      <c r="B12" s="10">
        <v>41533</v>
      </c>
      <c r="C12" s="4" t="s">
        <v>28</v>
      </c>
      <c r="D12" s="4" t="s">
        <v>41</v>
      </c>
    </row>
    <row r="13" spans="1:4" x14ac:dyDescent="0.4">
      <c r="A13" s="4">
        <f t="shared" ca="1" si="1"/>
        <v>12</v>
      </c>
      <c r="B13" s="10">
        <v>41540</v>
      </c>
      <c r="C13" s="4" t="s">
        <v>28</v>
      </c>
      <c r="D13" s="4" t="s">
        <v>42</v>
      </c>
    </row>
    <row r="14" spans="1:4" x14ac:dyDescent="0.4">
      <c r="A14" s="4">
        <f t="shared" ca="1" si="1"/>
        <v>13</v>
      </c>
      <c r="B14" s="10">
        <v>41561</v>
      </c>
      <c r="C14" s="4" t="s">
        <v>28</v>
      </c>
      <c r="D14" s="4" t="s">
        <v>43</v>
      </c>
    </row>
    <row r="15" spans="1:4" x14ac:dyDescent="0.4">
      <c r="A15" s="4">
        <f t="shared" ca="1" si="1"/>
        <v>14</v>
      </c>
      <c r="B15" s="10">
        <v>41581</v>
      </c>
      <c r="C15" s="4" t="s">
        <v>38</v>
      </c>
      <c r="D15" s="4" t="s">
        <v>44</v>
      </c>
    </row>
    <row r="16" spans="1:4" x14ac:dyDescent="0.4">
      <c r="A16" s="4">
        <f t="shared" ca="1" si="1"/>
        <v>15</v>
      </c>
      <c r="B16" s="10">
        <v>41582</v>
      </c>
      <c r="C16" s="4" t="s">
        <v>28</v>
      </c>
      <c r="D16" s="4" t="s">
        <v>39</v>
      </c>
    </row>
    <row r="17" spans="1:4" x14ac:dyDescent="0.4">
      <c r="A17" s="4">
        <f t="shared" ca="1" si="1"/>
        <v>16</v>
      </c>
      <c r="B17" s="10">
        <v>41601</v>
      </c>
      <c r="C17" s="4" t="s">
        <v>36</v>
      </c>
      <c r="D17" s="4" t="s">
        <v>45</v>
      </c>
    </row>
    <row r="18" spans="1:4" x14ac:dyDescent="0.4">
      <c r="A18" s="4">
        <f t="shared" ca="1" si="1"/>
        <v>17</v>
      </c>
      <c r="B18" s="10">
        <v>41631</v>
      </c>
      <c r="C18" s="4" t="s">
        <v>28</v>
      </c>
      <c r="D18" s="4" t="s">
        <v>46</v>
      </c>
    </row>
    <row r="19" spans="1:4" x14ac:dyDescent="0.4">
      <c r="A19" s="4">
        <f t="shared" ca="1" si="1"/>
        <v>18</v>
      </c>
      <c r="B19" s="10">
        <v>41640</v>
      </c>
      <c r="C19" s="4" t="s">
        <v>31</v>
      </c>
      <c r="D19" s="4" t="s">
        <v>25</v>
      </c>
    </row>
    <row r="20" spans="1:4" x14ac:dyDescent="0.4">
      <c r="A20" s="4">
        <f t="shared" ca="1" si="1"/>
        <v>19</v>
      </c>
      <c r="B20" s="10">
        <v>41652</v>
      </c>
      <c r="C20" s="4" t="s">
        <v>28</v>
      </c>
      <c r="D20" s="4" t="s">
        <v>27</v>
      </c>
    </row>
    <row r="21" spans="1:4" x14ac:dyDescent="0.4">
      <c r="A21" s="4">
        <f t="shared" ca="1" si="1"/>
        <v>20</v>
      </c>
      <c r="B21" s="10">
        <v>41681</v>
      </c>
      <c r="C21" s="4" t="s">
        <v>26</v>
      </c>
      <c r="D21" s="4" t="s">
        <v>29</v>
      </c>
    </row>
    <row r="22" spans="1:4" x14ac:dyDescent="0.4">
      <c r="A22" s="4">
        <f t="shared" ca="1" si="1"/>
        <v>21</v>
      </c>
      <c r="B22" s="10">
        <v>41719</v>
      </c>
      <c r="C22" s="4" t="s">
        <v>34</v>
      </c>
      <c r="D22" s="4" t="s">
        <v>30</v>
      </c>
    </row>
    <row r="23" spans="1:4" x14ac:dyDescent="0.4">
      <c r="A23" s="4">
        <f t="shared" ca="1" si="1"/>
        <v>22</v>
      </c>
      <c r="B23" s="10">
        <v>41758</v>
      </c>
      <c r="C23" s="4" t="s">
        <v>26</v>
      </c>
      <c r="D23" s="4" t="s">
        <v>32</v>
      </c>
    </row>
    <row r="24" spans="1:4" x14ac:dyDescent="0.4">
      <c r="A24" s="4">
        <f t="shared" ca="1" si="1"/>
        <v>23</v>
      </c>
      <c r="B24" s="10">
        <v>41762</v>
      </c>
      <c r="C24" s="4" t="s">
        <v>36</v>
      </c>
      <c r="D24" s="4" t="s">
        <v>33</v>
      </c>
    </row>
    <row r="25" spans="1:4" x14ac:dyDescent="0.4">
      <c r="A25" s="4">
        <f t="shared" ca="1" si="1"/>
        <v>24</v>
      </c>
      <c r="B25" s="10">
        <v>41763</v>
      </c>
      <c r="C25" s="4" t="s">
        <v>38</v>
      </c>
      <c r="D25" s="4" t="s">
        <v>35</v>
      </c>
    </row>
    <row r="26" spans="1:4" x14ac:dyDescent="0.4">
      <c r="A26" s="4">
        <f t="shared" ca="1" si="1"/>
        <v>25</v>
      </c>
      <c r="B26" s="10">
        <v>41764</v>
      </c>
      <c r="C26" s="4" t="s">
        <v>28</v>
      </c>
      <c r="D26" s="4" t="s">
        <v>37</v>
      </c>
    </row>
    <row r="27" spans="1:4" x14ac:dyDescent="0.4">
      <c r="A27" s="4">
        <f t="shared" ca="1" si="1"/>
        <v>26</v>
      </c>
      <c r="B27" s="10">
        <v>41765</v>
      </c>
      <c r="C27" s="4" t="s">
        <v>26</v>
      </c>
      <c r="D27" s="4" t="s">
        <v>39</v>
      </c>
    </row>
    <row r="28" spans="1:4" x14ac:dyDescent="0.4">
      <c r="A28" s="4">
        <f t="shared" ca="1" si="1"/>
        <v>27</v>
      </c>
      <c r="B28" s="10">
        <v>41841</v>
      </c>
      <c r="C28" s="4" t="s">
        <v>28</v>
      </c>
      <c r="D28" s="4" t="s">
        <v>40</v>
      </c>
    </row>
    <row r="29" spans="1:4" x14ac:dyDescent="0.4">
      <c r="A29" s="4">
        <f t="shared" ca="1" si="1"/>
        <v>28</v>
      </c>
      <c r="B29" s="10">
        <v>41897</v>
      </c>
      <c r="C29" s="4" t="s">
        <v>28</v>
      </c>
      <c r="D29" s="4" t="s">
        <v>41</v>
      </c>
    </row>
    <row r="30" spans="1:4" x14ac:dyDescent="0.4">
      <c r="A30" s="4">
        <f t="shared" ca="1" si="1"/>
        <v>29</v>
      </c>
      <c r="B30" s="10">
        <v>41905</v>
      </c>
      <c r="C30" s="4" t="s">
        <v>26</v>
      </c>
      <c r="D30" s="4" t="s">
        <v>42</v>
      </c>
    </row>
    <row r="31" spans="1:4" x14ac:dyDescent="0.4">
      <c r="A31" s="4">
        <f t="shared" ca="1" si="1"/>
        <v>30</v>
      </c>
      <c r="B31" s="10">
        <v>41925</v>
      </c>
      <c r="C31" s="4" t="s">
        <v>28</v>
      </c>
      <c r="D31" s="4" t="s">
        <v>43</v>
      </c>
    </row>
    <row r="32" spans="1:4" x14ac:dyDescent="0.4">
      <c r="A32" s="4">
        <f t="shared" ca="1" si="1"/>
        <v>31</v>
      </c>
      <c r="B32" s="10">
        <v>41946</v>
      </c>
      <c r="C32" s="4" t="s">
        <v>28</v>
      </c>
      <c r="D32" s="4" t="s">
        <v>44</v>
      </c>
    </row>
    <row r="33" spans="1:4" x14ac:dyDescent="0.4">
      <c r="A33" s="4">
        <f t="shared" ca="1" si="1"/>
        <v>32</v>
      </c>
      <c r="B33" s="10">
        <v>41966</v>
      </c>
      <c r="C33" s="4" t="s">
        <v>38</v>
      </c>
      <c r="D33" s="4" t="s">
        <v>45</v>
      </c>
    </row>
    <row r="34" spans="1:4" x14ac:dyDescent="0.4">
      <c r="A34" s="4">
        <f t="shared" ca="1" si="1"/>
        <v>33</v>
      </c>
      <c r="B34" s="10">
        <v>41967</v>
      </c>
      <c r="C34" s="4" t="s">
        <v>28</v>
      </c>
      <c r="D34" s="4" t="s">
        <v>39</v>
      </c>
    </row>
    <row r="35" spans="1:4" x14ac:dyDescent="0.4">
      <c r="A35" s="4">
        <f t="shared" ca="1" si="1"/>
        <v>34</v>
      </c>
      <c r="B35" s="10">
        <v>41996</v>
      </c>
      <c r="C35" s="4" t="s">
        <v>26</v>
      </c>
      <c r="D35" s="4" t="s">
        <v>46</v>
      </c>
    </row>
    <row r="36" spans="1:4" x14ac:dyDescent="0.4">
      <c r="A36" s="4">
        <f t="shared" ca="1" si="1"/>
        <v>35</v>
      </c>
      <c r="B36" s="10">
        <v>42005</v>
      </c>
      <c r="C36" s="4" t="s">
        <v>47</v>
      </c>
      <c r="D36" s="4" t="s">
        <v>25</v>
      </c>
    </row>
    <row r="37" spans="1:4" x14ac:dyDescent="0.4">
      <c r="A37" s="4">
        <f t="shared" ca="1" si="1"/>
        <v>36</v>
      </c>
      <c r="B37" s="10">
        <v>42016</v>
      </c>
      <c r="C37" s="4" t="s">
        <v>28</v>
      </c>
      <c r="D37" s="4" t="s">
        <v>27</v>
      </c>
    </row>
    <row r="38" spans="1:4" x14ac:dyDescent="0.4">
      <c r="A38" s="4">
        <f t="shared" ca="1" si="1"/>
        <v>37</v>
      </c>
      <c r="B38" s="10">
        <v>42046</v>
      </c>
      <c r="C38" s="4" t="s">
        <v>31</v>
      </c>
      <c r="D38" s="4" t="s">
        <v>29</v>
      </c>
    </row>
    <row r="39" spans="1:4" x14ac:dyDescent="0.4">
      <c r="A39" s="4">
        <f t="shared" ca="1" si="1"/>
        <v>38</v>
      </c>
      <c r="B39" s="10">
        <v>42084</v>
      </c>
      <c r="C39" s="4" t="s">
        <v>36</v>
      </c>
      <c r="D39" s="4" t="s">
        <v>30</v>
      </c>
    </row>
    <row r="40" spans="1:4" x14ac:dyDescent="0.4">
      <c r="A40" s="4">
        <f t="shared" ca="1" si="1"/>
        <v>39</v>
      </c>
      <c r="B40" s="10">
        <v>42123</v>
      </c>
      <c r="C40" s="4" t="s">
        <v>31</v>
      </c>
      <c r="D40" s="4" t="s">
        <v>32</v>
      </c>
    </row>
    <row r="41" spans="1:4" x14ac:dyDescent="0.4">
      <c r="A41" s="4">
        <f t="shared" ca="1" si="1"/>
        <v>40</v>
      </c>
      <c r="B41" s="10">
        <v>42127</v>
      </c>
      <c r="C41" s="4" t="s">
        <v>38</v>
      </c>
      <c r="D41" s="4" t="s">
        <v>33</v>
      </c>
    </row>
    <row r="42" spans="1:4" x14ac:dyDescent="0.4">
      <c r="A42" s="4">
        <f t="shared" ca="1" si="1"/>
        <v>41</v>
      </c>
      <c r="B42" s="10">
        <v>42128</v>
      </c>
      <c r="C42" s="4" t="s">
        <v>28</v>
      </c>
      <c r="D42" s="4" t="s">
        <v>35</v>
      </c>
    </row>
    <row r="43" spans="1:4" x14ac:dyDescent="0.4">
      <c r="A43" s="4">
        <f t="shared" ca="1" si="1"/>
        <v>42</v>
      </c>
      <c r="B43" s="10">
        <v>42129</v>
      </c>
      <c r="C43" s="4" t="s">
        <v>26</v>
      </c>
      <c r="D43" s="4" t="s">
        <v>37</v>
      </c>
    </row>
    <row r="44" spans="1:4" x14ac:dyDescent="0.4">
      <c r="A44" s="4">
        <f t="shared" ca="1" si="1"/>
        <v>43</v>
      </c>
      <c r="B44" s="10">
        <v>42130</v>
      </c>
      <c r="C44" s="4" t="s">
        <v>31</v>
      </c>
      <c r="D44" s="4" t="s">
        <v>39</v>
      </c>
    </row>
    <row r="45" spans="1:4" x14ac:dyDescent="0.4">
      <c r="A45" s="4">
        <f t="shared" ca="1" si="1"/>
        <v>44</v>
      </c>
      <c r="B45" s="10">
        <v>42205</v>
      </c>
      <c r="C45" s="4" t="s">
        <v>28</v>
      </c>
      <c r="D45" s="4" t="s">
        <v>40</v>
      </c>
    </row>
    <row r="46" spans="1:4" x14ac:dyDescent="0.4">
      <c r="A46" s="4">
        <f t="shared" ca="1" si="1"/>
        <v>45</v>
      </c>
      <c r="B46" s="10">
        <v>42268</v>
      </c>
      <c r="C46" s="4" t="s">
        <v>28</v>
      </c>
      <c r="D46" s="4" t="s">
        <v>41</v>
      </c>
    </row>
    <row r="47" spans="1:4" x14ac:dyDescent="0.4">
      <c r="A47" s="4">
        <f t="shared" ca="1" si="1"/>
        <v>46</v>
      </c>
      <c r="B47" s="10">
        <v>42269</v>
      </c>
      <c r="C47" s="4" t="s">
        <v>26</v>
      </c>
      <c r="D47" s="4" t="s">
        <v>48</v>
      </c>
    </row>
    <row r="48" spans="1:4" x14ac:dyDescent="0.4">
      <c r="A48" s="4">
        <f t="shared" ca="1" si="1"/>
        <v>47</v>
      </c>
      <c r="B48" s="10">
        <v>42270</v>
      </c>
      <c r="C48" s="4" t="s">
        <v>31</v>
      </c>
      <c r="D48" s="4" t="s">
        <v>42</v>
      </c>
    </row>
    <row r="49" spans="1:4" x14ac:dyDescent="0.4">
      <c r="A49" s="4">
        <f t="shared" ca="1" si="1"/>
        <v>48</v>
      </c>
      <c r="B49" s="10">
        <v>42289</v>
      </c>
      <c r="C49" s="4" t="s">
        <v>28</v>
      </c>
      <c r="D49" s="4" t="s">
        <v>43</v>
      </c>
    </row>
    <row r="50" spans="1:4" x14ac:dyDescent="0.4">
      <c r="A50" s="4">
        <f t="shared" ca="1" si="1"/>
        <v>49</v>
      </c>
      <c r="B50" s="10">
        <v>42311</v>
      </c>
      <c r="C50" s="4" t="s">
        <v>26</v>
      </c>
      <c r="D50" s="4" t="s">
        <v>44</v>
      </c>
    </row>
    <row r="51" spans="1:4" x14ac:dyDescent="0.4">
      <c r="A51" s="4">
        <f t="shared" ca="1" si="1"/>
        <v>50</v>
      </c>
      <c r="B51" s="10">
        <v>42331</v>
      </c>
      <c r="C51" s="4" t="s">
        <v>28</v>
      </c>
      <c r="D51" s="4" t="s">
        <v>45</v>
      </c>
    </row>
    <row r="52" spans="1:4" x14ac:dyDescent="0.4">
      <c r="A52" s="4">
        <f t="shared" ca="1" si="1"/>
        <v>51</v>
      </c>
      <c r="B52" s="10">
        <v>42361</v>
      </c>
      <c r="C52" s="4" t="s">
        <v>31</v>
      </c>
      <c r="D52" s="4" t="s">
        <v>46</v>
      </c>
    </row>
    <row r="53" spans="1:4" x14ac:dyDescent="0.4">
      <c r="A53" s="4">
        <f t="shared" ca="1" si="1"/>
        <v>52</v>
      </c>
      <c r="B53" s="10">
        <v>42370</v>
      </c>
      <c r="C53" s="4" t="s">
        <v>34</v>
      </c>
      <c r="D53" s="4" t="s">
        <v>25</v>
      </c>
    </row>
    <row r="54" spans="1:4" x14ac:dyDescent="0.4">
      <c r="A54" s="4">
        <f t="shared" ca="1" si="1"/>
        <v>53</v>
      </c>
      <c r="B54" s="10">
        <v>42380</v>
      </c>
      <c r="C54" s="4" t="s">
        <v>28</v>
      </c>
      <c r="D54" s="4" t="s">
        <v>27</v>
      </c>
    </row>
    <row r="55" spans="1:4" x14ac:dyDescent="0.4">
      <c r="A55" s="4">
        <f t="shared" ca="1" si="1"/>
        <v>54</v>
      </c>
      <c r="B55" s="10">
        <v>42411</v>
      </c>
      <c r="C55" s="4" t="s">
        <v>47</v>
      </c>
      <c r="D55" s="4" t="s">
        <v>29</v>
      </c>
    </row>
    <row r="56" spans="1:4" x14ac:dyDescent="0.4">
      <c r="A56" s="4">
        <f t="shared" ca="1" si="1"/>
        <v>55</v>
      </c>
      <c r="B56" s="10">
        <v>42449</v>
      </c>
      <c r="C56" s="4" t="s">
        <v>38</v>
      </c>
      <c r="D56" s="4" t="s">
        <v>30</v>
      </c>
    </row>
    <row r="57" spans="1:4" x14ac:dyDescent="0.4">
      <c r="A57" s="4">
        <f t="shared" ca="1" si="1"/>
        <v>56</v>
      </c>
      <c r="B57" s="10">
        <v>42450</v>
      </c>
      <c r="C57" s="4" t="s">
        <v>28</v>
      </c>
      <c r="D57" s="4" t="s">
        <v>39</v>
      </c>
    </row>
    <row r="58" spans="1:4" x14ac:dyDescent="0.4">
      <c r="A58" s="4">
        <f t="shared" ca="1" si="1"/>
        <v>57</v>
      </c>
      <c r="B58" s="10">
        <v>42489</v>
      </c>
      <c r="C58" s="4" t="s">
        <v>34</v>
      </c>
      <c r="D58" s="4" t="s">
        <v>32</v>
      </c>
    </row>
    <row r="59" spans="1:4" x14ac:dyDescent="0.4">
      <c r="A59" s="4">
        <f t="shared" ca="1" si="1"/>
        <v>58</v>
      </c>
      <c r="B59" s="10">
        <v>42493</v>
      </c>
      <c r="C59" s="4" t="s">
        <v>26</v>
      </c>
      <c r="D59" s="4" t="s">
        <v>33</v>
      </c>
    </row>
    <row r="60" spans="1:4" x14ac:dyDescent="0.4">
      <c r="A60" s="4">
        <f t="shared" ca="1" si="1"/>
        <v>59</v>
      </c>
      <c r="B60" s="10">
        <v>42494</v>
      </c>
      <c r="C60" s="4" t="s">
        <v>31</v>
      </c>
      <c r="D60" s="4" t="s">
        <v>35</v>
      </c>
    </row>
    <row r="61" spans="1:4" x14ac:dyDescent="0.4">
      <c r="A61" s="4">
        <f t="shared" ca="1" si="1"/>
        <v>60</v>
      </c>
      <c r="B61" s="10">
        <v>42495</v>
      </c>
      <c r="C61" s="4" t="s">
        <v>47</v>
      </c>
      <c r="D61" s="4" t="s">
        <v>37</v>
      </c>
    </row>
    <row r="62" spans="1:4" x14ac:dyDescent="0.4">
      <c r="A62" s="4">
        <f t="shared" ca="1" si="1"/>
        <v>61</v>
      </c>
      <c r="B62" s="10">
        <v>42569</v>
      </c>
      <c r="C62" s="4" t="s">
        <v>28</v>
      </c>
      <c r="D62" s="4" t="s">
        <v>40</v>
      </c>
    </row>
    <row r="63" spans="1:4" x14ac:dyDescent="0.4">
      <c r="A63" s="4">
        <f t="shared" ca="1" si="1"/>
        <v>62</v>
      </c>
      <c r="B63" s="10">
        <v>42593</v>
      </c>
      <c r="C63" s="4" t="s">
        <v>47</v>
      </c>
      <c r="D63" s="4" t="s">
        <v>49</v>
      </c>
    </row>
    <row r="64" spans="1:4" x14ac:dyDescent="0.4">
      <c r="A64" s="4">
        <f t="shared" ca="1" si="1"/>
        <v>63</v>
      </c>
      <c r="B64" s="10">
        <v>42632</v>
      </c>
      <c r="C64" s="4" t="s">
        <v>28</v>
      </c>
      <c r="D64" s="4" t="s">
        <v>41</v>
      </c>
    </row>
    <row r="65" spans="1:4" x14ac:dyDescent="0.4">
      <c r="A65" s="4">
        <f t="shared" ca="1" si="1"/>
        <v>64</v>
      </c>
      <c r="B65" s="10">
        <v>42635</v>
      </c>
      <c r="C65" s="4" t="s">
        <v>47</v>
      </c>
      <c r="D65" s="4" t="s">
        <v>42</v>
      </c>
    </row>
    <row r="66" spans="1:4" x14ac:dyDescent="0.4">
      <c r="A66" s="4">
        <f t="shared" ca="1" si="1"/>
        <v>65</v>
      </c>
      <c r="B66" s="10">
        <v>42653</v>
      </c>
      <c r="C66" s="4" t="s">
        <v>28</v>
      </c>
      <c r="D66" s="4" t="s">
        <v>43</v>
      </c>
    </row>
    <row r="67" spans="1:4" x14ac:dyDescent="0.4">
      <c r="A67" s="4">
        <f t="shared" ca="1" si="1"/>
        <v>66</v>
      </c>
      <c r="B67" s="10">
        <v>42677</v>
      </c>
      <c r="C67" s="4" t="s">
        <v>47</v>
      </c>
      <c r="D67" s="4" t="s">
        <v>44</v>
      </c>
    </row>
    <row r="68" spans="1:4" x14ac:dyDescent="0.4">
      <c r="A68" s="4">
        <f t="shared" ca="1" si="1"/>
        <v>67</v>
      </c>
      <c r="B68" s="10">
        <v>42697</v>
      </c>
      <c r="C68" s="4" t="s">
        <v>31</v>
      </c>
      <c r="D68" s="4" t="s">
        <v>45</v>
      </c>
    </row>
    <row r="69" spans="1:4" x14ac:dyDescent="0.4">
      <c r="A69" s="4">
        <f t="shared" ca="1" si="1"/>
        <v>68</v>
      </c>
      <c r="B69" s="10">
        <v>42727</v>
      </c>
      <c r="C69" s="4" t="s">
        <v>34</v>
      </c>
      <c r="D69" s="4" t="s">
        <v>46</v>
      </c>
    </row>
    <row r="70" spans="1:4" x14ac:dyDescent="0.4">
      <c r="A70" s="4">
        <f t="shared" ca="1" si="1"/>
        <v>69</v>
      </c>
      <c r="B70" s="10">
        <v>42736</v>
      </c>
      <c r="C70" s="4" t="s">
        <v>38</v>
      </c>
      <c r="D70" s="4" t="s">
        <v>25</v>
      </c>
    </row>
    <row r="71" spans="1:4" x14ac:dyDescent="0.4">
      <c r="A71" s="4">
        <f t="shared" ca="1" si="1"/>
        <v>70</v>
      </c>
      <c r="B71" s="10">
        <v>42737</v>
      </c>
      <c r="C71" s="4" t="s">
        <v>28</v>
      </c>
      <c r="D71" s="4" t="s">
        <v>39</v>
      </c>
    </row>
    <row r="72" spans="1:4" x14ac:dyDescent="0.4">
      <c r="A72" s="4">
        <f t="shared" ca="1" si="1"/>
        <v>71</v>
      </c>
      <c r="B72" s="10">
        <v>42744</v>
      </c>
      <c r="C72" s="4" t="s">
        <v>28</v>
      </c>
      <c r="D72" s="4" t="s">
        <v>27</v>
      </c>
    </row>
    <row r="73" spans="1:4" x14ac:dyDescent="0.4">
      <c r="A73" s="4">
        <f t="shared" ca="1" si="1"/>
        <v>72</v>
      </c>
      <c r="B73" s="10">
        <v>42777</v>
      </c>
      <c r="C73" s="4" t="s">
        <v>36</v>
      </c>
      <c r="D73" s="4" t="s">
        <v>29</v>
      </c>
    </row>
    <row r="74" spans="1:4" x14ac:dyDescent="0.4">
      <c r="A74" s="4">
        <f t="shared" ca="1" si="1"/>
        <v>73</v>
      </c>
      <c r="B74" s="10">
        <v>42814</v>
      </c>
      <c r="C74" s="4" t="s">
        <v>28</v>
      </c>
      <c r="D74" s="4" t="s">
        <v>30</v>
      </c>
    </row>
    <row r="75" spans="1:4" x14ac:dyDescent="0.4">
      <c r="A75" s="4">
        <f t="shared" ca="1" si="1"/>
        <v>74</v>
      </c>
      <c r="B75" s="10">
        <v>42854</v>
      </c>
      <c r="C75" s="4" t="s">
        <v>36</v>
      </c>
      <c r="D75" s="4" t="s">
        <v>32</v>
      </c>
    </row>
    <row r="76" spans="1:4" x14ac:dyDescent="0.4">
      <c r="A76" s="4">
        <f t="shared" ref="A76:A139" ca="1" si="2">INDIRECT(ADDRESS(ROW()-1,COLUMN()),TRUE)+1</f>
        <v>75</v>
      </c>
      <c r="B76" s="10">
        <v>42858</v>
      </c>
      <c r="C76" s="4" t="s">
        <v>31</v>
      </c>
      <c r="D76" s="4" t="s">
        <v>33</v>
      </c>
    </row>
    <row r="77" spans="1:4" x14ac:dyDescent="0.4">
      <c r="A77" s="4">
        <f t="shared" ca="1" si="2"/>
        <v>76</v>
      </c>
      <c r="B77" s="10">
        <v>42859</v>
      </c>
      <c r="C77" s="4" t="s">
        <v>47</v>
      </c>
      <c r="D77" s="4" t="s">
        <v>35</v>
      </c>
    </row>
    <row r="78" spans="1:4" x14ac:dyDescent="0.4">
      <c r="A78" s="4">
        <f t="shared" ca="1" si="2"/>
        <v>77</v>
      </c>
      <c r="B78" s="10">
        <v>42860</v>
      </c>
      <c r="C78" s="4" t="s">
        <v>34</v>
      </c>
      <c r="D78" s="4" t="s">
        <v>37</v>
      </c>
    </row>
    <row r="79" spans="1:4" x14ac:dyDescent="0.4">
      <c r="A79" s="4">
        <f t="shared" ca="1" si="2"/>
        <v>78</v>
      </c>
      <c r="B79" s="10">
        <v>42933</v>
      </c>
      <c r="C79" s="4" t="s">
        <v>28</v>
      </c>
      <c r="D79" s="4" t="s">
        <v>40</v>
      </c>
    </row>
    <row r="80" spans="1:4" x14ac:dyDescent="0.4">
      <c r="A80" s="4">
        <f t="shared" ca="1" si="2"/>
        <v>79</v>
      </c>
      <c r="B80" s="10">
        <v>42958</v>
      </c>
      <c r="C80" s="4" t="s">
        <v>34</v>
      </c>
      <c r="D80" s="4" t="s">
        <v>49</v>
      </c>
    </row>
    <row r="81" spans="1:4" x14ac:dyDescent="0.4">
      <c r="A81" s="4">
        <f t="shared" ca="1" si="2"/>
        <v>80</v>
      </c>
      <c r="B81" s="10">
        <v>42996</v>
      </c>
      <c r="C81" s="4" t="s">
        <v>28</v>
      </c>
      <c r="D81" s="4" t="s">
        <v>41</v>
      </c>
    </row>
    <row r="82" spans="1:4" x14ac:dyDescent="0.4">
      <c r="A82" s="4">
        <f t="shared" ca="1" si="2"/>
        <v>81</v>
      </c>
      <c r="B82" s="10">
        <v>43001</v>
      </c>
      <c r="C82" s="4" t="s">
        <v>36</v>
      </c>
      <c r="D82" s="4" t="s">
        <v>42</v>
      </c>
    </row>
    <row r="83" spans="1:4" x14ac:dyDescent="0.4">
      <c r="A83" s="4">
        <f t="shared" ca="1" si="2"/>
        <v>82</v>
      </c>
      <c r="B83" s="10">
        <v>43017</v>
      </c>
      <c r="C83" s="4" t="s">
        <v>28</v>
      </c>
      <c r="D83" s="4" t="s">
        <v>43</v>
      </c>
    </row>
    <row r="84" spans="1:4" x14ac:dyDescent="0.4">
      <c r="A84" s="4">
        <f t="shared" ca="1" si="2"/>
        <v>83</v>
      </c>
      <c r="B84" s="10">
        <v>43042</v>
      </c>
      <c r="C84" s="4" t="s">
        <v>34</v>
      </c>
      <c r="D84" s="4" t="s">
        <v>44</v>
      </c>
    </row>
    <row r="85" spans="1:4" x14ac:dyDescent="0.4">
      <c r="A85" s="4">
        <f t="shared" ca="1" si="2"/>
        <v>84</v>
      </c>
      <c r="B85" s="10">
        <v>43062</v>
      </c>
      <c r="C85" s="4" t="s">
        <v>47</v>
      </c>
      <c r="D85" s="4" t="s">
        <v>45</v>
      </c>
    </row>
    <row r="86" spans="1:4" x14ac:dyDescent="0.4">
      <c r="A86" s="4">
        <f t="shared" ca="1" si="2"/>
        <v>85</v>
      </c>
      <c r="B86" s="10">
        <v>43092</v>
      </c>
      <c r="C86" s="4" t="s">
        <v>36</v>
      </c>
      <c r="D86" s="4" t="s">
        <v>46</v>
      </c>
    </row>
    <row r="87" spans="1:4" x14ac:dyDescent="0.4">
      <c r="A87" s="4">
        <f t="shared" ca="1" si="2"/>
        <v>86</v>
      </c>
      <c r="B87" s="10">
        <v>43101</v>
      </c>
      <c r="C87" s="4" t="s">
        <v>28</v>
      </c>
      <c r="D87" s="4" t="s">
        <v>25</v>
      </c>
    </row>
    <row r="88" spans="1:4" x14ac:dyDescent="0.4">
      <c r="A88" s="4">
        <f t="shared" ca="1" si="2"/>
        <v>87</v>
      </c>
      <c r="B88" s="10">
        <v>43108</v>
      </c>
      <c r="C88" s="4" t="s">
        <v>28</v>
      </c>
      <c r="D88" s="4" t="s">
        <v>27</v>
      </c>
    </row>
    <row r="89" spans="1:4" x14ac:dyDescent="0.4">
      <c r="A89" s="4">
        <f t="shared" ca="1" si="2"/>
        <v>88</v>
      </c>
      <c r="B89" s="10">
        <v>43142</v>
      </c>
      <c r="C89" s="4" t="s">
        <v>38</v>
      </c>
      <c r="D89" s="4" t="s">
        <v>29</v>
      </c>
    </row>
    <row r="90" spans="1:4" x14ac:dyDescent="0.4">
      <c r="A90" s="4">
        <f t="shared" ca="1" si="2"/>
        <v>89</v>
      </c>
      <c r="B90" s="10">
        <v>43143</v>
      </c>
      <c r="C90" s="4" t="s">
        <v>28</v>
      </c>
      <c r="D90" s="4" t="s">
        <v>39</v>
      </c>
    </row>
    <row r="91" spans="1:4" x14ac:dyDescent="0.4">
      <c r="A91" s="4">
        <f t="shared" ca="1" si="2"/>
        <v>90</v>
      </c>
      <c r="B91" s="10">
        <v>43180</v>
      </c>
      <c r="C91" s="4" t="s">
        <v>31</v>
      </c>
      <c r="D91" s="4" t="s">
        <v>30</v>
      </c>
    </row>
    <row r="92" spans="1:4" x14ac:dyDescent="0.4">
      <c r="A92" s="4">
        <f t="shared" ca="1" si="2"/>
        <v>91</v>
      </c>
      <c r="B92" s="10">
        <v>43219</v>
      </c>
      <c r="C92" s="4" t="s">
        <v>38</v>
      </c>
      <c r="D92" s="4" t="s">
        <v>32</v>
      </c>
    </row>
    <row r="93" spans="1:4" x14ac:dyDescent="0.4">
      <c r="A93" s="4">
        <f t="shared" ca="1" si="2"/>
        <v>92</v>
      </c>
      <c r="B93" s="10">
        <v>43220</v>
      </c>
      <c r="C93" s="4" t="s">
        <v>28</v>
      </c>
      <c r="D93" s="4" t="s">
        <v>39</v>
      </c>
    </row>
    <row r="94" spans="1:4" x14ac:dyDescent="0.4">
      <c r="A94" s="4">
        <f t="shared" ca="1" si="2"/>
        <v>93</v>
      </c>
      <c r="B94" s="10">
        <v>43223</v>
      </c>
      <c r="C94" s="4" t="s">
        <v>47</v>
      </c>
      <c r="D94" s="4" t="s">
        <v>33</v>
      </c>
    </row>
    <row r="95" spans="1:4" x14ac:dyDescent="0.4">
      <c r="A95" s="4">
        <f t="shared" ca="1" si="2"/>
        <v>94</v>
      </c>
      <c r="B95" s="10">
        <v>43224</v>
      </c>
      <c r="C95" s="4" t="s">
        <v>34</v>
      </c>
      <c r="D95" s="4" t="s">
        <v>35</v>
      </c>
    </row>
    <row r="96" spans="1:4" x14ac:dyDescent="0.4">
      <c r="A96" s="4">
        <f t="shared" ca="1" si="2"/>
        <v>95</v>
      </c>
      <c r="B96" s="10">
        <v>43225</v>
      </c>
      <c r="C96" s="4" t="s">
        <v>36</v>
      </c>
      <c r="D96" s="4" t="s">
        <v>37</v>
      </c>
    </row>
    <row r="97" spans="1:4" x14ac:dyDescent="0.4">
      <c r="A97" s="4">
        <f t="shared" ca="1" si="2"/>
        <v>96</v>
      </c>
      <c r="B97" s="10">
        <v>43297</v>
      </c>
      <c r="C97" s="4" t="s">
        <v>28</v>
      </c>
      <c r="D97" s="4" t="s">
        <v>40</v>
      </c>
    </row>
    <row r="98" spans="1:4" x14ac:dyDescent="0.4">
      <c r="A98" s="4">
        <f t="shared" ca="1" si="2"/>
        <v>97</v>
      </c>
      <c r="B98" s="10">
        <v>43323</v>
      </c>
      <c r="C98" s="4" t="s">
        <v>36</v>
      </c>
      <c r="D98" s="4" t="s">
        <v>49</v>
      </c>
    </row>
    <row r="99" spans="1:4" x14ac:dyDescent="0.4">
      <c r="A99" s="4">
        <f t="shared" ca="1" si="2"/>
        <v>98</v>
      </c>
      <c r="B99" s="10">
        <v>43360</v>
      </c>
      <c r="C99" s="4" t="s">
        <v>28</v>
      </c>
      <c r="D99" s="4" t="s">
        <v>41</v>
      </c>
    </row>
    <row r="100" spans="1:4" x14ac:dyDescent="0.4">
      <c r="A100" s="4">
        <f t="shared" ca="1" si="2"/>
        <v>99</v>
      </c>
      <c r="B100" s="10">
        <v>43366</v>
      </c>
      <c r="C100" s="4" t="s">
        <v>38</v>
      </c>
      <c r="D100" s="4" t="s">
        <v>42</v>
      </c>
    </row>
    <row r="101" spans="1:4" x14ac:dyDescent="0.4">
      <c r="A101" s="4">
        <f t="shared" ca="1" si="2"/>
        <v>100</v>
      </c>
      <c r="B101" s="10">
        <v>43367</v>
      </c>
      <c r="C101" s="4" t="s">
        <v>28</v>
      </c>
      <c r="D101" s="4" t="s">
        <v>39</v>
      </c>
    </row>
    <row r="102" spans="1:4" x14ac:dyDescent="0.4">
      <c r="A102" s="4">
        <f t="shared" ca="1" si="2"/>
        <v>101</v>
      </c>
      <c r="B102" s="10">
        <v>43381</v>
      </c>
      <c r="C102" s="4" t="s">
        <v>28</v>
      </c>
      <c r="D102" s="4" t="s">
        <v>43</v>
      </c>
    </row>
    <row r="103" spans="1:4" x14ac:dyDescent="0.4">
      <c r="A103" s="4">
        <f t="shared" ca="1" si="2"/>
        <v>102</v>
      </c>
      <c r="B103" s="10">
        <v>43407</v>
      </c>
      <c r="C103" s="4" t="s">
        <v>36</v>
      </c>
      <c r="D103" s="4" t="s">
        <v>44</v>
      </c>
    </row>
    <row r="104" spans="1:4" x14ac:dyDescent="0.4">
      <c r="A104" s="4">
        <f t="shared" ca="1" si="2"/>
        <v>103</v>
      </c>
      <c r="B104" s="10">
        <v>43427</v>
      </c>
      <c r="C104" s="4" t="s">
        <v>34</v>
      </c>
      <c r="D104" s="4" t="s">
        <v>45</v>
      </c>
    </row>
    <row r="105" spans="1:4" x14ac:dyDescent="0.4">
      <c r="A105" s="4">
        <f t="shared" ca="1" si="2"/>
        <v>104</v>
      </c>
      <c r="B105" s="10">
        <v>43457</v>
      </c>
      <c r="C105" s="4" t="s">
        <v>38</v>
      </c>
      <c r="D105" s="4" t="s">
        <v>46</v>
      </c>
    </row>
    <row r="106" spans="1:4" x14ac:dyDescent="0.4">
      <c r="A106" s="4">
        <f t="shared" ca="1" si="2"/>
        <v>105</v>
      </c>
      <c r="B106" s="10">
        <v>43458</v>
      </c>
      <c r="C106" s="4" t="s">
        <v>28</v>
      </c>
      <c r="D106" s="4" t="s">
        <v>39</v>
      </c>
    </row>
    <row r="107" spans="1:4" x14ac:dyDescent="0.4">
      <c r="A107" s="4">
        <f t="shared" ca="1" si="2"/>
        <v>106</v>
      </c>
      <c r="B107" s="10">
        <v>43466</v>
      </c>
      <c r="C107" s="4" t="s">
        <v>26</v>
      </c>
      <c r="D107" s="4" t="s">
        <v>25</v>
      </c>
    </row>
    <row r="108" spans="1:4" x14ac:dyDescent="0.4">
      <c r="A108" s="4">
        <f t="shared" ca="1" si="2"/>
        <v>107</v>
      </c>
      <c r="B108" s="10">
        <v>43479</v>
      </c>
      <c r="C108" s="4" t="s">
        <v>28</v>
      </c>
      <c r="D108" s="4" t="s">
        <v>27</v>
      </c>
    </row>
    <row r="109" spans="1:4" x14ac:dyDescent="0.4">
      <c r="A109" s="4">
        <f t="shared" ca="1" si="2"/>
        <v>108</v>
      </c>
      <c r="B109" s="10">
        <v>43507</v>
      </c>
      <c r="C109" s="4" t="s">
        <v>28</v>
      </c>
      <c r="D109" s="4" t="s">
        <v>29</v>
      </c>
    </row>
    <row r="110" spans="1:4" x14ac:dyDescent="0.4">
      <c r="A110" s="4">
        <f t="shared" ca="1" si="2"/>
        <v>109</v>
      </c>
      <c r="B110" s="10">
        <v>43545</v>
      </c>
      <c r="C110" s="4" t="s">
        <v>47</v>
      </c>
      <c r="D110" s="4" t="s">
        <v>30</v>
      </c>
    </row>
    <row r="111" spans="1:4" x14ac:dyDescent="0.4">
      <c r="A111" s="4">
        <f t="shared" ca="1" si="2"/>
        <v>110</v>
      </c>
      <c r="B111" s="10">
        <v>43584</v>
      </c>
      <c r="C111" s="4" t="s">
        <v>28</v>
      </c>
      <c r="D111" s="4" t="s">
        <v>32</v>
      </c>
    </row>
    <row r="112" spans="1:4" x14ac:dyDescent="0.4">
      <c r="A112" s="4">
        <f t="shared" ca="1" si="2"/>
        <v>111</v>
      </c>
      <c r="B112" s="10">
        <v>43588</v>
      </c>
      <c r="C112" s="4" t="s">
        <v>34</v>
      </c>
      <c r="D112" s="4" t="s">
        <v>33</v>
      </c>
    </row>
    <row r="113" spans="1:4" x14ac:dyDescent="0.4">
      <c r="A113" s="4">
        <f t="shared" ca="1" si="2"/>
        <v>112</v>
      </c>
      <c r="B113" s="10">
        <v>43589</v>
      </c>
      <c r="C113" s="4" t="s">
        <v>36</v>
      </c>
      <c r="D113" s="4" t="s">
        <v>35</v>
      </c>
    </row>
    <row r="114" spans="1:4" x14ac:dyDescent="0.4">
      <c r="A114" s="4">
        <f t="shared" ca="1" si="2"/>
        <v>113</v>
      </c>
      <c r="B114" s="10">
        <v>43590</v>
      </c>
      <c r="C114" s="4" t="s">
        <v>38</v>
      </c>
      <c r="D114" s="4" t="s">
        <v>37</v>
      </c>
    </row>
    <row r="115" spans="1:4" x14ac:dyDescent="0.4">
      <c r="A115" s="4">
        <f t="shared" ca="1" si="2"/>
        <v>114</v>
      </c>
      <c r="B115" s="10">
        <v>43591</v>
      </c>
      <c r="C115" s="4" t="s">
        <v>28</v>
      </c>
      <c r="D115" s="4" t="s">
        <v>39</v>
      </c>
    </row>
    <row r="116" spans="1:4" x14ac:dyDescent="0.4">
      <c r="A116" s="4">
        <f t="shared" ca="1" si="2"/>
        <v>115</v>
      </c>
      <c r="B116" s="10">
        <v>43661</v>
      </c>
      <c r="C116" s="4" t="s">
        <v>28</v>
      </c>
      <c r="D116" s="4" t="s">
        <v>40</v>
      </c>
    </row>
    <row r="117" spans="1:4" x14ac:dyDescent="0.4">
      <c r="A117" s="4">
        <f t="shared" ca="1" si="2"/>
        <v>116</v>
      </c>
      <c r="B117" s="10">
        <v>43688</v>
      </c>
      <c r="C117" s="4" t="s">
        <v>38</v>
      </c>
      <c r="D117" s="4" t="s">
        <v>49</v>
      </c>
    </row>
    <row r="118" spans="1:4" x14ac:dyDescent="0.4">
      <c r="A118" s="4">
        <f t="shared" ca="1" si="2"/>
        <v>117</v>
      </c>
      <c r="B118" s="10">
        <v>43689</v>
      </c>
      <c r="C118" s="4" t="s">
        <v>28</v>
      </c>
      <c r="D118" s="4" t="s">
        <v>39</v>
      </c>
    </row>
    <row r="119" spans="1:4" x14ac:dyDescent="0.4">
      <c r="A119" s="4">
        <f t="shared" ca="1" si="2"/>
        <v>118</v>
      </c>
      <c r="B119" s="10">
        <v>43724</v>
      </c>
      <c r="C119" s="4" t="s">
        <v>28</v>
      </c>
      <c r="D119" s="4" t="s">
        <v>41</v>
      </c>
    </row>
    <row r="120" spans="1:4" x14ac:dyDescent="0.4">
      <c r="A120" s="4">
        <f t="shared" ca="1" si="2"/>
        <v>119</v>
      </c>
      <c r="B120" s="10">
        <v>43731</v>
      </c>
      <c r="C120" s="4" t="s">
        <v>28</v>
      </c>
      <c r="D120" s="4" t="s">
        <v>42</v>
      </c>
    </row>
    <row r="121" spans="1:4" x14ac:dyDescent="0.4">
      <c r="A121" s="4">
        <f t="shared" ca="1" si="2"/>
        <v>120</v>
      </c>
      <c r="B121" s="10">
        <v>43752</v>
      </c>
      <c r="C121" s="4" t="s">
        <v>28</v>
      </c>
      <c r="D121" s="4" t="s">
        <v>43</v>
      </c>
    </row>
    <row r="122" spans="1:4" x14ac:dyDescent="0.4">
      <c r="A122" s="4">
        <f t="shared" ca="1" si="2"/>
        <v>121</v>
      </c>
      <c r="B122" s="10">
        <v>43772</v>
      </c>
      <c r="C122" s="4" t="s">
        <v>38</v>
      </c>
      <c r="D122" s="4" t="s">
        <v>44</v>
      </c>
    </row>
    <row r="123" spans="1:4" x14ac:dyDescent="0.4">
      <c r="A123" s="4">
        <f t="shared" ca="1" si="2"/>
        <v>122</v>
      </c>
      <c r="B123" s="10">
        <v>43773</v>
      </c>
      <c r="C123" s="4" t="s">
        <v>28</v>
      </c>
      <c r="D123" s="4" t="s">
        <v>39</v>
      </c>
    </row>
    <row r="124" spans="1:4" x14ac:dyDescent="0.4">
      <c r="A124" s="4">
        <f t="shared" ca="1" si="2"/>
        <v>123</v>
      </c>
      <c r="B124" s="10">
        <v>43792</v>
      </c>
      <c r="C124" s="4" t="s">
        <v>36</v>
      </c>
      <c r="D124" s="4" t="s">
        <v>45</v>
      </c>
    </row>
    <row r="125" spans="1:4" x14ac:dyDescent="0.4">
      <c r="A125" s="4">
        <f t="shared" ca="1" si="2"/>
        <v>124</v>
      </c>
      <c r="B125" s="10">
        <v>43822</v>
      </c>
      <c r="C125" s="4" t="s">
        <v>28</v>
      </c>
      <c r="D125" s="4" t="s">
        <v>46</v>
      </c>
    </row>
    <row r="126" spans="1:4" x14ac:dyDescent="0.4">
      <c r="A126" s="4">
        <f t="shared" ca="1" si="2"/>
        <v>125</v>
      </c>
      <c r="B126" s="10">
        <v>43831</v>
      </c>
      <c r="C126" s="4" t="s">
        <v>31</v>
      </c>
      <c r="D126" s="4" t="s">
        <v>25</v>
      </c>
    </row>
    <row r="127" spans="1:4" x14ac:dyDescent="0.4">
      <c r="A127" s="4">
        <f t="shared" ca="1" si="2"/>
        <v>126</v>
      </c>
      <c r="B127" s="10">
        <v>43843</v>
      </c>
      <c r="C127" s="4" t="s">
        <v>28</v>
      </c>
      <c r="D127" s="4" t="s">
        <v>27</v>
      </c>
    </row>
    <row r="128" spans="1:4" x14ac:dyDescent="0.4">
      <c r="A128" s="4">
        <f t="shared" ca="1" si="2"/>
        <v>127</v>
      </c>
      <c r="B128" s="10">
        <v>43872</v>
      </c>
      <c r="C128" s="4" t="s">
        <v>26</v>
      </c>
      <c r="D128" s="4" t="s">
        <v>29</v>
      </c>
    </row>
    <row r="129" spans="1:4" x14ac:dyDescent="0.4">
      <c r="A129" s="4">
        <f t="shared" ca="1" si="2"/>
        <v>128</v>
      </c>
      <c r="B129" s="10">
        <v>43910</v>
      </c>
      <c r="C129" s="4" t="s">
        <v>34</v>
      </c>
      <c r="D129" s="4" t="s">
        <v>30</v>
      </c>
    </row>
    <row r="130" spans="1:4" x14ac:dyDescent="0.4">
      <c r="A130" s="4">
        <f t="shared" ca="1" si="2"/>
        <v>129</v>
      </c>
      <c r="B130" s="10">
        <v>43950</v>
      </c>
      <c r="C130" s="4" t="s">
        <v>31</v>
      </c>
      <c r="D130" s="4" t="s">
        <v>32</v>
      </c>
    </row>
    <row r="131" spans="1:4" x14ac:dyDescent="0.4">
      <c r="A131" s="4">
        <f t="shared" ca="1" si="2"/>
        <v>130</v>
      </c>
      <c r="B131" s="10">
        <v>43954</v>
      </c>
      <c r="C131" s="4" t="s">
        <v>38</v>
      </c>
      <c r="D131" s="4" t="s">
        <v>33</v>
      </c>
    </row>
    <row r="132" spans="1:4" x14ac:dyDescent="0.4">
      <c r="A132" s="4">
        <f t="shared" ca="1" si="2"/>
        <v>131</v>
      </c>
      <c r="B132" s="10">
        <v>43955</v>
      </c>
      <c r="C132" s="4" t="s">
        <v>28</v>
      </c>
      <c r="D132" s="4" t="s">
        <v>35</v>
      </c>
    </row>
    <row r="133" spans="1:4" x14ac:dyDescent="0.4">
      <c r="A133" s="4">
        <f t="shared" ca="1" si="2"/>
        <v>132</v>
      </c>
      <c r="B133" s="10">
        <v>43956</v>
      </c>
      <c r="C133" s="4" t="s">
        <v>26</v>
      </c>
      <c r="D133" s="4" t="s">
        <v>37</v>
      </c>
    </row>
    <row r="134" spans="1:4" x14ac:dyDescent="0.4">
      <c r="A134" s="4">
        <f t="shared" ca="1" si="2"/>
        <v>133</v>
      </c>
      <c r="B134" s="10">
        <v>43957</v>
      </c>
      <c r="C134" s="4" t="s">
        <v>31</v>
      </c>
      <c r="D134" s="4" t="s">
        <v>39</v>
      </c>
    </row>
    <row r="135" spans="1:4" x14ac:dyDescent="0.4">
      <c r="A135" s="4">
        <f t="shared" ca="1" si="2"/>
        <v>134</v>
      </c>
      <c r="B135" s="10">
        <v>44032</v>
      </c>
      <c r="C135" s="4" t="s">
        <v>28</v>
      </c>
      <c r="D135" s="4" t="s">
        <v>40</v>
      </c>
    </row>
    <row r="136" spans="1:4" x14ac:dyDescent="0.4">
      <c r="A136" s="4">
        <f t="shared" ca="1" si="2"/>
        <v>135</v>
      </c>
      <c r="B136" s="10">
        <v>44054</v>
      </c>
      <c r="C136" s="4" t="s">
        <v>26</v>
      </c>
      <c r="D136" s="4" t="s">
        <v>49</v>
      </c>
    </row>
    <row r="137" spans="1:4" x14ac:dyDescent="0.4">
      <c r="A137" s="4">
        <f t="shared" ca="1" si="2"/>
        <v>136</v>
      </c>
      <c r="B137" s="10">
        <v>44095</v>
      </c>
      <c r="C137" s="4" t="s">
        <v>28</v>
      </c>
      <c r="D137" s="4" t="s">
        <v>41</v>
      </c>
    </row>
    <row r="138" spans="1:4" x14ac:dyDescent="0.4">
      <c r="A138" s="4">
        <f t="shared" ca="1" si="2"/>
        <v>137</v>
      </c>
      <c r="B138" s="10">
        <v>44096</v>
      </c>
      <c r="C138" s="4" t="s">
        <v>26</v>
      </c>
      <c r="D138" s="4" t="s">
        <v>42</v>
      </c>
    </row>
    <row r="139" spans="1:4" x14ac:dyDescent="0.4">
      <c r="A139" s="4">
        <f t="shared" ca="1" si="2"/>
        <v>138</v>
      </c>
      <c r="B139" s="10">
        <v>44116</v>
      </c>
      <c r="C139" s="4" t="s">
        <v>28</v>
      </c>
      <c r="D139" s="4" t="s">
        <v>43</v>
      </c>
    </row>
    <row r="140" spans="1:4" x14ac:dyDescent="0.4">
      <c r="A140" s="4">
        <f t="shared" ref="A140:A203" ca="1" si="3">INDIRECT(ADDRESS(ROW()-1,COLUMN()),TRUE)+1</f>
        <v>139</v>
      </c>
      <c r="B140" s="10">
        <v>44138</v>
      </c>
      <c r="C140" s="4" t="s">
        <v>26</v>
      </c>
      <c r="D140" s="4" t="s">
        <v>44</v>
      </c>
    </row>
    <row r="141" spans="1:4" x14ac:dyDescent="0.4">
      <c r="A141" s="4">
        <f t="shared" ca="1" si="3"/>
        <v>140</v>
      </c>
      <c r="B141" s="10">
        <v>44158</v>
      </c>
      <c r="C141" s="4" t="s">
        <v>28</v>
      </c>
      <c r="D141" s="4" t="s">
        <v>45</v>
      </c>
    </row>
    <row r="142" spans="1:4" x14ac:dyDescent="0.4">
      <c r="A142" s="4">
        <f t="shared" ca="1" si="3"/>
        <v>141</v>
      </c>
      <c r="B142" s="10">
        <v>44188</v>
      </c>
      <c r="C142" s="4" t="s">
        <v>31</v>
      </c>
      <c r="D142" s="4" t="s">
        <v>46</v>
      </c>
    </row>
    <row r="143" spans="1:4" x14ac:dyDescent="0.4">
      <c r="A143" s="4">
        <f t="shared" ca="1" si="3"/>
        <v>142</v>
      </c>
      <c r="B143" s="10">
        <v>44197</v>
      </c>
      <c r="C143" s="4" t="s">
        <v>34</v>
      </c>
      <c r="D143" s="4" t="s">
        <v>25</v>
      </c>
    </row>
    <row r="144" spans="1:4" x14ac:dyDescent="0.4">
      <c r="A144" s="4">
        <f t="shared" ca="1" si="3"/>
        <v>143</v>
      </c>
      <c r="B144" s="10">
        <v>44207</v>
      </c>
      <c r="C144" s="4" t="s">
        <v>28</v>
      </c>
      <c r="D144" s="4" t="s">
        <v>27</v>
      </c>
    </row>
    <row r="145" spans="1:4" x14ac:dyDescent="0.4">
      <c r="A145" s="4">
        <f t="shared" ca="1" si="3"/>
        <v>144</v>
      </c>
      <c r="B145" s="10">
        <v>44238</v>
      </c>
      <c r="C145" s="4" t="s">
        <v>47</v>
      </c>
      <c r="D145" s="4" t="s">
        <v>29</v>
      </c>
    </row>
    <row r="146" spans="1:4" x14ac:dyDescent="0.4">
      <c r="A146" s="4">
        <f t="shared" ca="1" si="3"/>
        <v>145</v>
      </c>
      <c r="B146" s="10">
        <v>44275</v>
      </c>
      <c r="C146" s="4" t="s">
        <v>36</v>
      </c>
      <c r="D146" s="4" t="s">
        <v>30</v>
      </c>
    </row>
    <row r="147" spans="1:4" x14ac:dyDescent="0.4">
      <c r="A147" s="4">
        <f t="shared" ca="1" si="3"/>
        <v>146</v>
      </c>
      <c r="B147" s="10">
        <v>44315</v>
      </c>
      <c r="C147" s="4" t="s">
        <v>47</v>
      </c>
      <c r="D147" s="4" t="s">
        <v>32</v>
      </c>
    </row>
    <row r="148" spans="1:4" x14ac:dyDescent="0.4">
      <c r="A148" s="4">
        <f t="shared" ca="1" si="3"/>
        <v>147</v>
      </c>
      <c r="B148" s="10">
        <v>44319</v>
      </c>
      <c r="C148" s="4" t="s">
        <v>28</v>
      </c>
      <c r="D148" s="4" t="s">
        <v>33</v>
      </c>
    </row>
    <row r="149" spans="1:4" x14ac:dyDescent="0.4">
      <c r="A149" s="4">
        <f t="shared" ca="1" si="3"/>
        <v>148</v>
      </c>
      <c r="B149" s="10">
        <v>44320</v>
      </c>
      <c r="C149" s="4" t="s">
        <v>26</v>
      </c>
      <c r="D149" s="4" t="s">
        <v>35</v>
      </c>
    </row>
    <row r="150" spans="1:4" x14ac:dyDescent="0.4">
      <c r="A150" s="4">
        <f t="shared" ca="1" si="3"/>
        <v>149</v>
      </c>
      <c r="B150" s="10">
        <v>44321</v>
      </c>
      <c r="C150" s="4" t="s">
        <v>31</v>
      </c>
      <c r="D150" s="4" t="s">
        <v>37</v>
      </c>
    </row>
    <row r="151" spans="1:4" x14ac:dyDescent="0.4">
      <c r="A151" s="4">
        <f t="shared" ca="1" si="3"/>
        <v>150</v>
      </c>
      <c r="B151" s="10">
        <v>44396</v>
      </c>
      <c r="C151" s="4" t="s">
        <v>28</v>
      </c>
      <c r="D151" s="4" t="s">
        <v>40</v>
      </c>
    </row>
    <row r="152" spans="1:4" x14ac:dyDescent="0.4">
      <c r="A152" s="4">
        <f t="shared" ca="1" si="3"/>
        <v>151</v>
      </c>
      <c r="B152" s="10">
        <v>44419</v>
      </c>
      <c r="C152" s="4" t="s">
        <v>31</v>
      </c>
      <c r="D152" s="4" t="s">
        <v>49</v>
      </c>
    </row>
    <row r="153" spans="1:4" x14ac:dyDescent="0.4">
      <c r="A153" s="4">
        <f t="shared" ca="1" si="3"/>
        <v>152</v>
      </c>
      <c r="B153" s="10">
        <v>44459</v>
      </c>
      <c r="C153" s="4" t="s">
        <v>28</v>
      </c>
      <c r="D153" s="4" t="s">
        <v>41</v>
      </c>
    </row>
    <row r="154" spans="1:4" x14ac:dyDescent="0.4">
      <c r="A154" s="4">
        <f t="shared" ca="1" si="3"/>
        <v>153</v>
      </c>
      <c r="B154" s="10">
        <v>44462</v>
      </c>
      <c r="C154" s="4" t="s">
        <v>47</v>
      </c>
      <c r="D154" s="4" t="s">
        <v>42</v>
      </c>
    </row>
    <row r="155" spans="1:4" x14ac:dyDescent="0.4">
      <c r="A155" s="4">
        <f t="shared" ca="1" si="3"/>
        <v>154</v>
      </c>
      <c r="B155" s="10">
        <v>44480</v>
      </c>
      <c r="C155" s="4" t="s">
        <v>28</v>
      </c>
      <c r="D155" s="4" t="s">
        <v>43</v>
      </c>
    </row>
    <row r="156" spans="1:4" x14ac:dyDescent="0.4">
      <c r="A156" s="4">
        <f t="shared" ca="1" si="3"/>
        <v>155</v>
      </c>
      <c r="B156" s="10">
        <v>44503</v>
      </c>
      <c r="C156" s="4" t="s">
        <v>31</v>
      </c>
      <c r="D156" s="4" t="s">
        <v>44</v>
      </c>
    </row>
    <row r="157" spans="1:4" x14ac:dyDescent="0.4">
      <c r="A157" s="4">
        <f t="shared" ca="1" si="3"/>
        <v>156</v>
      </c>
      <c r="B157" s="10">
        <v>44523</v>
      </c>
      <c r="C157" s="4" t="s">
        <v>26</v>
      </c>
      <c r="D157" s="4" t="s">
        <v>45</v>
      </c>
    </row>
    <row r="158" spans="1:4" x14ac:dyDescent="0.4">
      <c r="A158" s="4">
        <f t="shared" ca="1" si="3"/>
        <v>157</v>
      </c>
      <c r="B158" s="10">
        <v>44553</v>
      </c>
      <c r="C158" s="4" t="s">
        <v>47</v>
      </c>
      <c r="D158" s="4" t="s">
        <v>46</v>
      </c>
    </row>
    <row r="159" spans="1:4" x14ac:dyDescent="0.4">
      <c r="A159" s="4">
        <f t="shared" ca="1" si="3"/>
        <v>158</v>
      </c>
      <c r="B159" s="10">
        <v>44562</v>
      </c>
      <c r="C159" s="4" t="s">
        <v>36</v>
      </c>
      <c r="D159" s="4" t="s">
        <v>25</v>
      </c>
    </row>
    <row r="160" spans="1:4" x14ac:dyDescent="0.4">
      <c r="A160" s="4">
        <f t="shared" ca="1" si="3"/>
        <v>159</v>
      </c>
      <c r="B160" s="10">
        <v>44571</v>
      </c>
      <c r="C160" s="4" t="s">
        <v>28</v>
      </c>
      <c r="D160" s="4" t="s">
        <v>27</v>
      </c>
    </row>
    <row r="161" spans="1:4" x14ac:dyDescent="0.4">
      <c r="A161" s="4">
        <f t="shared" ca="1" si="3"/>
        <v>160</v>
      </c>
      <c r="B161" s="10">
        <v>44603</v>
      </c>
      <c r="C161" s="4" t="s">
        <v>34</v>
      </c>
      <c r="D161" s="4" t="s">
        <v>29</v>
      </c>
    </row>
    <row r="162" spans="1:4" x14ac:dyDescent="0.4">
      <c r="A162" s="4">
        <f t="shared" ca="1" si="3"/>
        <v>161</v>
      </c>
      <c r="B162" s="10">
        <v>44641</v>
      </c>
      <c r="C162" s="4" t="s">
        <v>28</v>
      </c>
      <c r="D162" s="4" t="s">
        <v>30</v>
      </c>
    </row>
    <row r="163" spans="1:4" x14ac:dyDescent="0.4">
      <c r="A163" s="4">
        <f t="shared" ca="1" si="3"/>
        <v>162</v>
      </c>
      <c r="B163" s="10">
        <v>44680</v>
      </c>
      <c r="C163" s="4" t="s">
        <v>34</v>
      </c>
      <c r="D163" s="4" t="s">
        <v>32</v>
      </c>
    </row>
    <row r="164" spans="1:4" x14ac:dyDescent="0.4">
      <c r="A164" s="4">
        <f t="shared" ca="1" si="3"/>
        <v>163</v>
      </c>
      <c r="B164" s="10">
        <v>44684</v>
      </c>
      <c r="C164" s="4" t="s">
        <v>26</v>
      </c>
      <c r="D164" s="4" t="s">
        <v>33</v>
      </c>
    </row>
    <row r="165" spans="1:4" x14ac:dyDescent="0.4">
      <c r="A165" s="4">
        <f t="shared" ca="1" si="3"/>
        <v>164</v>
      </c>
      <c r="B165" s="10">
        <v>44685</v>
      </c>
      <c r="C165" s="4" t="s">
        <v>31</v>
      </c>
      <c r="D165" s="4" t="s">
        <v>35</v>
      </c>
    </row>
    <row r="166" spans="1:4" x14ac:dyDescent="0.4">
      <c r="A166" s="4">
        <f t="shared" ca="1" si="3"/>
        <v>165</v>
      </c>
      <c r="B166" s="10">
        <v>44686</v>
      </c>
      <c r="C166" s="4" t="s">
        <v>47</v>
      </c>
      <c r="D166" s="4" t="s">
        <v>37</v>
      </c>
    </row>
    <row r="167" spans="1:4" x14ac:dyDescent="0.4">
      <c r="A167" s="4">
        <f t="shared" ca="1" si="3"/>
        <v>166</v>
      </c>
      <c r="B167" s="10">
        <v>44760</v>
      </c>
      <c r="C167" s="4" t="s">
        <v>28</v>
      </c>
      <c r="D167" s="4" t="s">
        <v>40</v>
      </c>
    </row>
    <row r="168" spans="1:4" x14ac:dyDescent="0.4">
      <c r="A168" s="4">
        <f t="shared" ca="1" si="3"/>
        <v>167</v>
      </c>
      <c r="B168" s="10">
        <v>44784</v>
      </c>
      <c r="C168" s="4" t="s">
        <v>47</v>
      </c>
      <c r="D168" s="4" t="s">
        <v>49</v>
      </c>
    </row>
    <row r="169" spans="1:4" x14ac:dyDescent="0.4">
      <c r="A169" s="4">
        <f t="shared" ca="1" si="3"/>
        <v>168</v>
      </c>
      <c r="B169" s="10">
        <v>44823</v>
      </c>
      <c r="C169" s="4" t="s">
        <v>28</v>
      </c>
      <c r="D169" s="4" t="s">
        <v>41</v>
      </c>
    </row>
    <row r="170" spans="1:4" x14ac:dyDescent="0.4">
      <c r="A170" s="4">
        <f t="shared" ca="1" si="3"/>
        <v>169</v>
      </c>
      <c r="B170" s="10">
        <v>44827</v>
      </c>
      <c r="C170" s="4" t="s">
        <v>34</v>
      </c>
      <c r="D170" s="4" t="s">
        <v>42</v>
      </c>
    </row>
    <row r="171" spans="1:4" x14ac:dyDescent="0.4">
      <c r="A171" s="4">
        <f t="shared" ca="1" si="3"/>
        <v>170</v>
      </c>
      <c r="B171" s="10">
        <v>44844</v>
      </c>
      <c r="C171" s="4" t="s">
        <v>28</v>
      </c>
      <c r="D171" s="4" t="s">
        <v>43</v>
      </c>
    </row>
    <row r="172" spans="1:4" x14ac:dyDescent="0.4">
      <c r="A172" s="4">
        <f t="shared" ca="1" si="3"/>
        <v>171</v>
      </c>
      <c r="B172" s="10">
        <v>44868</v>
      </c>
      <c r="C172" s="4" t="s">
        <v>47</v>
      </c>
      <c r="D172" s="4" t="s">
        <v>44</v>
      </c>
    </row>
    <row r="173" spans="1:4" x14ac:dyDescent="0.4">
      <c r="A173" s="4">
        <f t="shared" ca="1" si="3"/>
        <v>172</v>
      </c>
      <c r="B173" s="10">
        <v>44888</v>
      </c>
      <c r="C173" s="4" t="s">
        <v>31</v>
      </c>
      <c r="D173" s="4" t="s">
        <v>45</v>
      </c>
    </row>
    <row r="174" spans="1:4" x14ac:dyDescent="0.4">
      <c r="A174" s="4">
        <f t="shared" ca="1" si="3"/>
        <v>173</v>
      </c>
      <c r="B174" s="10">
        <v>44918</v>
      </c>
      <c r="C174" s="4" t="s">
        <v>34</v>
      </c>
      <c r="D174" s="4" t="s">
        <v>46</v>
      </c>
    </row>
    <row r="175" spans="1:4" x14ac:dyDescent="0.4">
      <c r="A175" s="4">
        <f t="shared" ca="1" si="3"/>
        <v>174</v>
      </c>
      <c r="B175" s="10">
        <v>44927</v>
      </c>
      <c r="C175" s="4" t="s">
        <v>38</v>
      </c>
      <c r="D175" s="4" t="s">
        <v>25</v>
      </c>
    </row>
    <row r="176" spans="1:4" x14ac:dyDescent="0.4">
      <c r="A176" s="4">
        <f t="shared" ca="1" si="3"/>
        <v>175</v>
      </c>
      <c r="B176" s="10">
        <v>44928</v>
      </c>
      <c r="C176" s="4" t="s">
        <v>28</v>
      </c>
      <c r="D176" s="4" t="s">
        <v>39</v>
      </c>
    </row>
    <row r="177" spans="1:4" x14ac:dyDescent="0.4">
      <c r="A177" s="4">
        <f t="shared" ca="1" si="3"/>
        <v>176</v>
      </c>
      <c r="B177" s="10">
        <v>44935</v>
      </c>
      <c r="C177" s="4" t="s">
        <v>28</v>
      </c>
      <c r="D177" s="4" t="s">
        <v>27</v>
      </c>
    </row>
    <row r="178" spans="1:4" x14ac:dyDescent="0.4">
      <c r="A178" s="4">
        <f t="shared" ca="1" si="3"/>
        <v>177</v>
      </c>
      <c r="B178" s="10">
        <v>44968</v>
      </c>
      <c r="C178" s="4" t="s">
        <v>36</v>
      </c>
      <c r="D178" s="4" t="s">
        <v>29</v>
      </c>
    </row>
    <row r="179" spans="1:4" x14ac:dyDescent="0.4">
      <c r="A179" s="4">
        <f t="shared" ca="1" si="3"/>
        <v>178</v>
      </c>
      <c r="B179" s="10">
        <v>45006</v>
      </c>
      <c r="C179" s="4" t="s">
        <v>26</v>
      </c>
      <c r="D179" s="4" t="s">
        <v>30</v>
      </c>
    </row>
    <row r="180" spans="1:4" x14ac:dyDescent="0.4">
      <c r="A180" s="4">
        <f t="shared" ca="1" si="3"/>
        <v>179</v>
      </c>
      <c r="B180" s="10">
        <v>45045</v>
      </c>
      <c r="C180" s="4" t="s">
        <v>36</v>
      </c>
      <c r="D180" s="4" t="s">
        <v>32</v>
      </c>
    </row>
    <row r="181" spans="1:4" x14ac:dyDescent="0.4">
      <c r="A181" s="4">
        <f t="shared" ca="1" si="3"/>
        <v>180</v>
      </c>
      <c r="B181" s="10">
        <v>45049</v>
      </c>
      <c r="C181" s="4" t="s">
        <v>31</v>
      </c>
      <c r="D181" s="4" t="s">
        <v>33</v>
      </c>
    </row>
    <row r="182" spans="1:4" x14ac:dyDescent="0.4">
      <c r="A182" s="4">
        <f t="shared" ca="1" si="3"/>
        <v>181</v>
      </c>
      <c r="B182" s="10">
        <v>45050</v>
      </c>
      <c r="C182" s="4" t="s">
        <v>47</v>
      </c>
      <c r="D182" s="4" t="s">
        <v>35</v>
      </c>
    </row>
    <row r="183" spans="1:4" x14ac:dyDescent="0.4">
      <c r="A183" s="4">
        <f t="shared" ca="1" si="3"/>
        <v>182</v>
      </c>
      <c r="B183" s="10">
        <v>45051</v>
      </c>
      <c r="C183" s="4" t="s">
        <v>34</v>
      </c>
      <c r="D183" s="4" t="s">
        <v>37</v>
      </c>
    </row>
    <row r="184" spans="1:4" x14ac:dyDescent="0.4">
      <c r="A184" s="4">
        <f t="shared" ca="1" si="3"/>
        <v>183</v>
      </c>
      <c r="B184" s="10">
        <v>45124</v>
      </c>
      <c r="C184" s="4" t="s">
        <v>28</v>
      </c>
      <c r="D184" s="4" t="s">
        <v>40</v>
      </c>
    </row>
    <row r="185" spans="1:4" x14ac:dyDescent="0.4">
      <c r="A185" s="4">
        <f t="shared" ca="1" si="3"/>
        <v>184</v>
      </c>
      <c r="B185" s="10">
        <v>45149</v>
      </c>
      <c r="C185" s="4" t="s">
        <v>34</v>
      </c>
      <c r="D185" s="4" t="s">
        <v>49</v>
      </c>
    </row>
    <row r="186" spans="1:4" x14ac:dyDescent="0.4">
      <c r="A186" s="4">
        <f t="shared" ca="1" si="3"/>
        <v>185</v>
      </c>
      <c r="B186" s="10">
        <v>45187</v>
      </c>
      <c r="C186" s="4" t="s">
        <v>28</v>
      </c>
      <c r="D186" s="4" t="s">
        <v>41</v>
      </c>
    </row>
    <row r="187" spans="1:4" x14ac:dyDescent="0.4">
      <c r="A187" s="4">
        <f t="shared" ca="1" si="3"/>
        <v>186</v>
      </c>
      <c r="B187" s="10">
        <v>45192</v>
      </c>
      <c r="C187" s="4" t="s">
        <v>36</v>
      </c>
      <c r="D187" s="4" t="s">
        <v>42</v>
      </c>
    </row>
    <row r="188" spans="1:4" x14ac:dyDescent="0.4">
      <c r="A188" s="4">
        <f t="shared" ca="1" si="3"/>
        <v>187</v>
      </c>
      <c r="B188" s="10">
        <v>45208</v>
      </c>
      <c r="C188" s="4" t="s">
        <v>28</v>
      </c>
      <c r="D188" s="4" t="s">
        <v>43</v>
      </c>
    </row>
    <row r="189" spans="1:4" x14ac:dyDescent="0.4">
      <c r="A189" s="4">
        <f t="shared" ca="1" si="3"/>
        <v>188</v>
      </c>
      <c r="B189" s="10">
        <v>45233</v>
      </c>
      <c r="C189" s="4" t="s">
        <v>34</v>
      </c>
      <c r="D189" s="4" t="s">
        <v>44</v>
      </c>
    </row>
    <row r="190" spans="1:4" x14ac:dyDescent="0.4">
      <c r="A190" s="4">
        <f t="shared" ca="1" si="3"/>
        <v>189</v>
      </c>
      <c r="B190" s="10">
        <v>45253</v>
      </c>
      <c r="C190" s="4" t="s">
        <v>47</v>
      </c>
      <c r="D190" s="4" t="s">
        <v>45</v>
      </c>
    </row>
    <row r="191" spans="1:4" x14ac:dyDescent="0.4">
      <c r="A191" s="4">
        <f t="shared" ca="1" si="3"/>
        <v>190</v>
      </c>
      <c r="B191" s="10">
        <v>45283</v>
      </c>
      <c r="C191" s="4" t="s">
        <v>36</v>
      </c>
      <c r="D191" s="4" t="s">
        <v>46</v>
      </c>
    </row>
    <row r="192" spans="1:4" x14ac:dyDescent="0.4">
      <c r="A192" s="4">
        <f t="shared" ca="1" si="3"/>
        <v>191</v>
      </c>
      <c r="B192" s="10">
        <v>45292</v>
      </c>
      <c r="C192" s="4" t="s">
        <v>28</v>
      </c>
      <c r="D192" s="4" t="s">
        <v>25</v>
      </c>
    </row>
    <row r="193" spans="1:4" x14ac:dyDescent="0.4">
      <c r="A193" s="4">
        <f t="shared" ca="1" si="3"/>
        <v>192</v>
      </c>
      <c r="B193" s="10">
        <v>45299</v>
      </c>
      <c r="C193" s="4" t="s">
        <v>28</v>
      </c>
      <c r="D193" s="4" t="s">
        <v>27</v>
      </c>
    </row>
    <row r="194" spans="1:4" x14ac:dyDescent="0.4">
      <c r="A194" s="4">
        <f t="shared" ca="1" si="3"/>
        <v>193</v>
      </c>
      <c r="B194" s="10">
        <v>45333</v>
      </c>
      <c r="C194" s="4" t="s">
        <v>38</v>
      </c>
      <c r="D194" s="4" t="s">
        <v>29</v>
      </c>
    </row>
    <row r="195" spans="1:4" x14ac:dyDescent="0.4">
      <c r="A195" s="4">
        <f t="shared" ca="1" si="3"/>
        <v>194</v>
      </c>
      <c r="B195" s="10">
        <v>45334</v>
      </c>
      <c r="C195" s="4" t="s">
        <v>28</v>
      </c>
      <c r="D195" s="4" t="s">
        <v>39</v>
      </c>
    </row>
    <row r="196" spans="1:4" x14ac:dyDescent="0.4">
      <c r="A196" s="4">
        <f t="shared" ca="1" si="3"/>
        <v>195</v>
      </c>
      <c r="B196" s="10">
        <v>45371</v>
      </c>
      <c r="C196" s="4" t="s">
        <v>31</v>
      </c>
      <c r="D196" s="4" t="s">
        <v>30</v>
      </c>
    </row>
    <row r="197" spans="1:4" x14ac:dyDescent="0.4">
      <c r="A197" s="4">
        <f t="shared" ca="1" si="3"/>
        <v>196</v>
      </c>
      <c r="B197" s="10">
        <v>45411</v>
      </c>
      <c r="C197" s="4" t="s">
        <v>28</v>
      </c>
      <c r="D197" s="4" t="s">
        <v>32</v>
      </c>
    </row>
    <row r="198" spans="1:4" x14ac:dyDescent="0.4">
      <c r="A198" s="4">
        <f t="shared" ca="1" si="3"/>
        <v>197</v>
      </c>
      <c r="B198" s="10">
        <v>45415</v>
      </c>
      <c r="C198" s="4" t="s">
        <v>34</v>
      </c>
      <c r="D198" s="4" t="s">
        <v>33</v>
      </c>
    </row>
    <row r="199" spans="1:4" x14ac:dyDescent="0.4">
      <c r="A199" s="4">
        <f t="shared" ca="1" si="3"/>
        <v>198</v>
      </c>
      <c r="B199" s="10">
        <v>45416</v>
      </c>
      <c r="C199" s="4" t="s">
        <v>36</v>
      </c>
      <c r="D199" s="4" t="s">
        <v>35</v>
      </c>
    </row>
    <row r="200" spans="1:4" x14ac:dyDescent="0.4">
      <c r="A200" s="4">
        <f t="shared" ca="1" si="3"/>
        <v>199</v>
      </c>
      <c r="B200" s="10">
        <v>45417</v>
      </c>
      <c r="C200" s="4" t="s">
        <v>38</v>
      </c>
      <c r="D200" s="4" t="s">
        <v>37</v>
      </c>
    </row>
    <row r="201" spans="1:4" x14ac:dyDescent="0.4">
      <c r="A201" s="4">
        <f t="shared" ca="1" si="3"/>
        <v>200</v>
      </c>
      <c r="B201" s="10">
        <v>45418</v>
      </c>
      <c r="C201" s="4" t="s">
        <v>28</v>
      </c>
      <c r="D201" s="4" t="s">
        <v>39</v>
      </c>
    </row>
    <row r="202" spans="1:4" x14ac:dyDescent="0.4">
      <c r="A202" s="4">
        <f t="shared" ca="1" si="3"/>
        <v>201</v>
      </c>
      <c r="B202" s="10">
        <v>45488</v>
      </c>
      <c r="C202" s="4" t="s">
        <v>28</v>
      </c>
      <c r="D202" s="4" t="s">
        <v>40</v>
      </c>
    </row>
    <row r="203" spans="1:4" x14ac:dyDescent="0.4">
      <c r="A203" s="4">
        <f t="shared" ca="1" si="3"/>
        <v>202</v>
      </c>
      <c r="B203" s="10">
        <v>45515</v>
      </c>
      <c r="C203" s="4" t="s">
        <v>38</v>
      </c>
      <c r="D203" s="4" t="s">
        <v>49</v>
      </c>
    </row>
    <row r="204" spans="1:4" x14ac:dyDescent="0.4">
      <c r="A204" s="4">
        <f t="shared" ref="A204:A267" ca="1" si="4">INDIRECT(ADDRESS(ROW()-1,COLUMN()),TRUE)+1</f>
        <v>203</v>
      </c>
      <c r="B204" s="10">
        <v>45516</v>
      </c>
      <c r="C204" s="4" t="s">
        <v>28</v>
      </c>
      <c r="D204" s="4" t="s">
        <v>39</v>
      </c>
    </row>
    <row r="205" spans="1:4" x14ac:dyDescent="0.4">
      <c r="A205" s="4">
        <f t="shared" ca="1" si="4"/>
        <v>204</v>
      </c>
      <c r="B205" s="10">
        <v>45551</v>
      </c>
      <c r="C205" s="4" t="s">
        <v>28</v>
      </c>
      <c r="D205" s="4" t="s">
        <v>41</v>
      </c>
    </row>
    <row r="206" spans="1:4" x14ac:dyDescent="0.4">
      <c r="A206" s="4">
        <f t="shared" ca="1" si="4"/>
        <v>205</v>
      </c>
      <c r="B206" s="10">
        <v>45557</v>
      </c>
      <c r="C206" s="4" t="s">
        <v>38</v>
      </c>
      <c r="D206" s="4" t="s">
        <v>42</v>
      </c>
    </row>
    <row r="207" spans="1:4" x14ac:dyDescent="0.4">
      <c r="A207" s="4">
        <f t="shared" ca="1" si="4"/>
        <v>206</v>
      </c>
      <c r="B207" s="10">
        <v>45558</v>
      </c>
      <c r="C207" s="4" t="s">
        <v>28</v>
      </c>
      <c r="D207" s="4" t="s">
        <v>39</v>
      </c>
    </row>
    <row r="208" spans="1:4" x14ac:dyDescent="0.4">
      <c r="A208" s="4">
        <f t="shared" ca="1" si="4"/>
        <v>207</v>
      </c>
      <c r="B208" s="10">
        <v>45579</v>
      </c>
      <c r="C208" s="4" t="s">
        <v>28</v>
      </c>
      <c r="D208" s="4" t="s">
        <v>43</v>
      </c>
    </row>
    <row r="209" spans="1:4" x14ac:dyDescent="0.4">
      <c r="A209" s="4">
        <f t="shared" ca="1" si="4"/>
        <v>208</v>
      </c>
      <c r="B209" s="10">
        <v>45599</v>
      </c>
      <c r="C209" s="4" t="s">
        <v>38</v>
      </c>
      <c r="D209" s="4" t="s">
        <v>44</v>
      </c>
    </row>
    <row r="210" spans="1:4" x14ac:dyDescent="0.4">
      <c r="A210" s="4">
        <f t="shared" ca="1" si="4"/>
        <v>209</v>
      </c>
      <c r="B210" s="10">
        <v>45600</v>
      </c>
      <c r="C210" s="4" t="s">
        <v>28</v>
      </c>
      <c r="D210" s="4" t="s">
        <v>39</v>
      </c>
    </row>
    <row r="211" spans="1:4" x14ac:dyDescent="0.4">
      <c r="A211" s="4">
        <f t="shared" ca="1" si="4"/>
        <v>210</v>
      </c>
      <c r="B211" s="10">
        <v>45619</v>
      </c>
      <c r="C211" s="4" t="s">
        <v>36</v>
      </c>
      <c r="D211" s="4" t="s">
        <v>45</v>
      </c>
    </row>
    <row r="212" spans="1:4" x14ac:dyDescent="0.4">
      <c r="A212" s="4">
        <f t="shared" ca="1" si="4"/>
        <v>211</v>
      </c>
      <c r="B212" s="10">
        <v>45649</v>
      </c>
      <c r="C212" s="4" t="s">
        <v>28</v>
      </c>
      <c r="D212" s="4" t="s">
        <v>46</v>
      </c>
    </row>
    <row r="213" spans="1:4" x14ac:dyDescent="0.4">
      <c r="A213" s="4">
        <f t="shared" ca="1" si="4"/>
        <v>212</v>
      </c>
      <c r="B213" s="10">
        <v>45658</v>
      </c>
      <c r="C213" s="4" t="s">
        <v>31</v>
      </c>
      <c r="D213" s="4" t="s">
        <v>25</v>
      </c>
    </row>
    <row r="214" spans="1:4" x14ac:dyDescent="0.4">
      <c r="A214" s="4">
        <f t="shared" ca="1" si="4"/>
        <v>213</v>
      </c>
      <c r="B214" s="10">
        <v>45670</v>
      </c>
      <c r="C214" s="4" t="s">
        <v>28</v>
      </c>
      <c r="D214" s="4" t="s">
        <v>27</v>
      </c>
    </row>
    <row r="215" spans="1:4" x14ac:dyDescent="0.4">
      <c r="A215" s="4">
        <f t="shared" ca="1" si="4"/>
        <v>214</v>
      </c>
      <c r="B215" s="10">
        <v>45699</v>
      </c>
      <c r="C215" s="4" t="s">
        <v>26</v>
      </c>
      <c r="D215" s="4" t="s">
        <v>29</v>
      </c>
    </row>
    <row r="216" spans="1:4" x14ac:dyDescent="0.4">
      <c r="A216" s="4">
        <f t="shared" ca="1" si="4"/>
        <v>215</v>
      </c>
      <c r="B216" s="10">
        <v>45736</v>
      </c>
      <c r="C216" s="4" t="s">
        <v>47</v>
      </c>
      <c r="D216" s="4" t="s">
        <v>30</v>
      </c>
    </row>
    <row r="217" spans="1:4" x14ac:dyDescent="0.4">
      <c r="A217" s="4">
        <f t="shared" ca="1" si="4"/>
        <v>216</v>
      </c>
      <c r="B217" s="10">
        <v>45776</v>
      </c>
      <c r="C217" s="4" t="s">
        <v>26</v>
      </c>
      <c r="D217" s="4" t="s">
        <v>32</v>
      </c>
    </row>
    <row r="218" spans="1:4" x14ac:dyDescent="0.4">
      <c r="A218" s="4">
        <f t="shared" ca="1" si="4"/>
        <v>217</v>
      </c>
      <c r="B218" s="10">
        <v>45780</v>
      </c>
      <c r="C218" s="4" t="s">
        <v>36</v>
      </c>
      <c r="D218" s="4" t="s">
        <v>33</v>
      </c>
    </row>
    <row r="219" spans="1:4" x14ac:dyDescent="0.4">
      <c r="A219" s="4">
        <f t="shared" ca="1" si="4"/>
        <v>218</v>
      </c>
      <c r="B219" s="10">
        <v>45781</v>
      </c>
      <c r="C219" s="4" t="s">
        <v>38</v>
      </c>
      <c r="D219" s="4" t="s">
        <v>35</v>
      </c>
    </row>
    <row r="220" spans="1:4" x14ac:dyDescent="0.4">
      <c r="A220" s="4">
        <f t="shared" ca="1" si="4"/>
        <v>219</v>
      </c>
      <c r="B220" s="10">
        <v>45782</v>
      </c>
      <c r="C220" s="4" t="s">
        <v>28</v>
      </c>
      <c r="D220" s="4" t="s">
        <v>37</v>
      </c>
    </row>
    <row r="221" spans="1:4" x14ac:dyDescent="0.4">
      <c r="A221" s="4">
        <f t="shared" ca="1" si="4"/>
        <v>220</v>
      </c>
      <c r="B221" s="10">
        <v>45783</v>
      </c>
      <c r="C221" s="4" t="s">
        <v>26</v>
      </c>
      <c r="D221" s="4" t="s">
        <v>39</v>
      </c>
    </row>
    <row r="222" spans="1:4" x14ac:dyDescent="0.4">
      <c r="A222" s="4">
        <f t="shared" ca="1" si="4"/>
        <v>221</v>
      </c>
      <c r="B222" s="10">
        <v>45859</v>
      </c>
      <c r="C222" s="4" t="s">
        <v>28</v>
      </c>
      <c r="D222" s="4" t="s">
        <v>40</v>
      </c>
    </row>
    <row r="223" spans="1:4" x14ac:dyDescent="0.4">
      <c r="A223" s="4">
        <f t="shared" ca="1" si="4"/>
        <v>222</v>
      </c>
      <c r="B223" s="10">
        <v>45880</v>
      </c>
      <c r="C223" s="4" t="s">
        <v>28</v>
      </c>
      <c r="D223" s="4" t="s">
        <v>49</v>
      </c>
    </row>
    <row r="224" spans="1:4" x14ac:dyDescent="0.4">
      <c r="A224" s="4">
        <f t="shared" ca="1" si="4"/>
        <v>223</v>
      </c>
      <c r="B224" s="10">
        <v>45915</v>
      </c>
      <c r="C224" s="4" t="s">
        <v>28</v>
      </c>
      <c r="D224" s="4" t="s">
        <v>41</v>
      </c>
    </row>
    <row r="225" spans="1:4" x14ac:dyDescent="0.4">
      <c r="A225" s="4">
        <f t="shared" ca="1" si="4"/>
        <v>224</v>
      </c>
      <c r="B225" s="10">
        <v>45923</v>
      </c>
      <c r="C225" s="4" t="s">
        <v>26</v>
      </c>
      <c r="D225" s="4" t="s">
        <v>42</v>
      </c>
    </row>
    <row r="226" spans="1:4" x14ac:dyDescent="0.4">
      <c r="A226" s="4">
        <f t="shared" ca="1" si="4"/>
        <v>225</v>
      </c>
      <c r="B226" s="10">
        <v>45943</v>
      </c>
      <c r="C226" s="4" t="s">
        <v>28</v>
      </c>
      <c r="D226" s="4" t="s">
        <v>43</v>
      </c>
    </row>
    <row r="227" spans="1:4" x14ac:dyDescent="0.4">
      <c r="A227" s="4">
        <f t="shared" ca="1" si="4"/>
        <v>226</v>
      </c>
      <c r="B227" s="10">
        <v>45964</v>
      </c>
      <c r="C227" s="4" t="s">
        <v>28</v>
      </c>
      <c r="D227" s="4" t="s">
        <v>44</v>
      </c>
    </row>
    <row r="228" spans="1:4" x14ac:dyDescent="0.4">
      <c r="A228" s="4">
        <f t="shared" ca="1" si="4"/>
        <v>227</v>
      </c>
      <c r="B228" s="10">
        <v>45984</v>
      </c>
      <c r="C228" s="4" t="s">
        <v>38</v>
      </c>
      <c r="D228" s="4" t="s">
        <v>45</v>
      </c>
    </row>
    <row r="229" spans="1:4" x14ac:dyDescent="0.4">
      <c r="A229" s="4">
        <f t="shared" ca="1" si="4"/>
        <v>228</v>
      </c>
      <c r="B229" s="10">
        <v>45985</v>
      </c>
      <c r="C229" s="4" t="s">
        <v>28</v>
      </c>
      <c r="D229" s="4" t="s">
        <v>39</v>
      </c>
    </row>
    <row r="230" spans="1:4" x14ac:dyDescent="0.4">
      <c r="A230" s="4">
        <f t="shared" ca="1" si="4"/>
        <v>229</v>
      </c>
      <c r="B230" s="10">
        <v>46014</v>
      </c>
      <c r="C230" s="4" t="s">
        <v>26</v>
      </c>
      <c r="D230" s="4" t="s">
        <v>46</v>
      </c>
    </row>
    <row r="231" spans="1:4" x14ac:dyDescent="0.4">
      <c r="A231" s="4">
        <f t="shared" ca="1" si="4"/>
        <v>230</v>
      </c>
      <c r="B231" s="10">
        <v>46023</v>
      </c>
      <c r="C231" s="4" t="s">
        <v>47</v>
      </c>
      <c r="D231" s="4" t="s">
        <v>25</v>
      </c>
    </row>
    <row r="232" spans="1:4" x14ac:dyDescent="0.4">
      <c r="A232" s="4">
        <f t="shared" ca="1" si="4"/>
        <v>231</v>
      </c>
      <c r="B232" s="10">
        <v>46034</v>
      </c>
      <c r="C232" s="4" t="s">
        <v>28</v>
      </c>
      <c r="D232" s="4" t="s">
        <v>27</v>
      </c>
    </row>
    <row r="233" spans="1:4" x14ac:dyDescent="0.4">
      <c r="A233" s="4">
        <f t="shared" ca="1" si="4"/>
        <v>232</v>
      </c>
      <c r="B233" s="10">
        <v>46064</v>
      </c>
      <c r="C233" s="4" t="s">
        <v>31</v>
      </c>
      <c r="D233" s="4" t="s">
        <v>29</v>
      </c>
    </row>
    <row r="234" spans="1:4" x14ac:dyDescent="0.4">
      <c r="A234" s="4">
        <f t="shared" ca="1" si="4"/>
        <v>233</v>
      </c>
      <c r="B234" s="10">
        <v>46101</v>
      </c>
      <c r="C234" s="4" t="s">
        <v>34</v>
      </c>
      <c r="D234" s="4" t="s">
        <v>30</v>
      </c>
    </row>
    <row r="235" spans="1:4" x14ac:dyDescent="0.4">
      <c r="A235" s="4">
        <f t="shared" ca="1" si="4"/>
        <v>234</v>
      </c>
      <c r="B235" s="10">
        <v>46141</v>
      </c>
      <c r="C235" s="4" t="s">
        <v>31</v>
      </c>
      <c r="D235" s="4" t="s">
        <v>32</v>
      </c>
    </row>
    <row r="236" spans="1:4" x14ac:dyDescent="0.4">
      <c r="A236" s="4">
        <f t="shared" ca="1" si="4"/>
        <v>235</v>
      </c>
      <c r="B236" s="10">
        <v>46145</v>
      </c>
      <c r="C236" s="4" t="s">
        <v>38</v>
      </c>
      <c r="D236" s="4" t="s">
        <v>33</v>
      </c>
    </row>
    <row r="237" spans="1:4" x14ac:dyDescent="0.4">
      <c r="A237" s="4">
        <f t="shared" ca="1" si="4"/>
        <v>236</v>
      </c>
      <c r="B237" s="10">
        <v>46146</v>
      </c>
      <c r="C237" s="4" t="s">
        <v>28</v>
      </c>
      <c r="D237" s="4" t="s">
        <v>35</v>
      </c>
    </row>
    <row r="238" spans="1:4" x14ac:dyDescent="0.4">
      <c r="A238" s="4">
        <f t="shared" ca="1" si="4"/>
        <v>237</v>
      </c>
      <c r="B238" s="10">
        <v>46147</v>
      </c>
      <c r="C238" s="4" t="s">
        <v>26</v>
      </c>
      <c r="D238" s="4" t="s">
        <v>37</v>
      </c>
    </row>
    <row r="239" spans="1:4" x14ac:dyDescent="0.4">
      <c r="A239" s="4">
        <f t="shared" ca="1" si="4"/>
        <v>238</v>
      </c>
      <c r="B239" s="10">
        <v>46148</v>
      </c>
      <c r="C239" s="4" t="s">
        <v>31</v>
      </c>
      <c r="D239" s="4" t="s">
        <v>39</v>
      </c>
    </row>
    <row r="240" spans="1:4" x14ac:dyDescent="0.4">
      <c r="A240" s="4">
        <f t="shared" ca="1" si="4"/>
        <v>239</v>
      </c>
      <c r="B240" s="10">
        <v>46223</v>
      </c>
      <c r="C240" s="4" t="s">
        <v>28</v>
      </c>
      <c r="D240" s="4" t="s">
        <v>40</v>
      </c>
    </row>
    <row r="241" spans="1:4" x14ac:dyDescent="0.4">
      <c r="A241" s="4">
        <f t="shared" ca="1" si="4"/>
        <v>240</v>
      </c>
      <c r="B241" s="10">
        <v>46245</v>
      </c>
      <c r="C241" s="4" t="s">
        <v>26</v>
      </c>
      <c r="D241" s="4" t="s">
        <v>49</v>
      </c>
    </row>
    <row r="242" spans="1:4" x14ac:dyDescent="0.4">
      <c r="A242" s="4">
        <f t="shared" ca="1" si="4"/>
        <v>241</v>
      </c>
      <c r="B242" s="10">
        <v>46286</v>
      </c>
      <c r="C242" s="4" t="s">
        <v>28</v>
      </c>
      <c r="D242" s="4" t="s">
        <v>41</v>
      </c>
    </row>
    <row r="243" spans="1:4" x14ac:dyDescent="0.4">
      <c r="A243" s="4">
        <f t="shared" ca="1" si="4"/>
        <v>242</v>
      </c>
      <c r="B243" s="10">
        <v>46287</v>
      </c>
      <c r="C243" s="4" t="s">
        <v>26</v>
      </c>
      <c r="D243" s="4" t="s">
        <v>48</v>
      </c>
    </row>
    <row r="244" spans="1:4" x14ac:dyDescent="0.4">
      <c r="A244" s="4">
        <f t="shared" ca="1" si="4"/>
        <v>243</v>
      </c>
      <c r="B244" s="10">
        <v>46288</v>
      </c>
      <c r="C244" s="4" t="s">
        <v>31</v>
      </c>
      <c r="D244" s="4" t="s">
        <v>42</v>
      </c>
    </row>
    <row r="245" spans="1:4" x14ac:dyDescent="0.4">
      <c r="A245" s="4">
        <f t="shared" ca="1" si="4"/>
        <v>244</v>
      </c>
      <c r="B245" s="10">
        <v>46307</v>
      </c>
      <c r="C245" s="4" t="s">
        <v>28</v>
      </c>
      <c r="D245" s="4" t="s">
        <v>43</v>
      </c>
    </row>
    <row r="246" spans="1:4" x14ac:dyDescent="0.4">
      <c r="A246" s="4">
        <f t="shared" ca="1" si="4"/>
        <v>245</v>
      </c>
      <c r="B246" s="10">
        <v>46329</v>
      </c>
      <c r="C246" s="4" t="s">
        <v>26</v>
      </c>
      <c r="D246" s="4" t="s">
        <v>44</v>
      </c>
    </row>
    <row r="247" spans="1:4" x14ac:dyDescent="0.4">
      <c r="A247" s="4">
        <f t="shared" ca="1" si="4"/>
        <v>246</v>
      </c>
      <c r="B247" s="10">
        <v>46349</v>
      </c>
      <c r="C247" s="4" t="s">
        <v>28</v>
      </c>
      <c r="D247" s="4" t="s">
        <v>45</v>
      </c>
    </row>
    <row r="248" spans="1:4" x14ac:dyDescent="0.4">
      <c r="A248" s="4">
        <f t="shared" ca="1" si="4"/>
        <v>247</v>
      </c>
      <c r="B248" s="10">
        <v>46379</v>
      </c>
      <c r="C248" s="4" t="s">
        <v>31</v>
      </c>
      <c r="D248" s="4" t="s">
        <v>46</v>
      </c>
    </row>
    <row r="249" spans="1:4" x14ac:dyDescent="0.4">
      <c r="A249" s="4">
        <f t="shared" ca="1" si="4"/>
        <v>248</v>
      </c>
      <c r="B249" s="10">
        <v>46388</v>
      </c>
      <c r="C249" s="4" t="s">
        <v>34</v>
      </c>
      <c r="D249" s="4" t="s">
        <v>25</v>
      </c>
    </row>
    <row r="250" spans="1:4" x14ac:dyDescent="0.4">
      <c r="A250" s="4">
        <f t="shared" ca="1" si="4"/>
        <v>249</v>
      </c>
      <c r="B250" s="10">
        <v>46398</v>
      </c>
      <c r="C250" s="4" t="s">
        <v>28</v>
      </c>
      <c r="D250" s="4" t="s">
        <v>27</v>
      </c>
    </row>
    <row r="251" spans="1:4" x14ac:dyDescent="0.4">
      <c r="A251" s="4">
        <f t="shared" ca="1" si="4"/>
        <v>250</v>
      </c>
      <c r="B251" s="10">
        <v>46429</v>
      </c>
      <c r="C251" s="4" t="s">
        <v>47</v>
      </c>
      <c r="D251" s="4" t="s">
        <v>29</v>
      </c>
    </row>
    <row r="252" spans="1:4" x14ac:dyDescent="0.4">
      <c r="A252" s="4">
        <f t="shared" ca="1" si="4"/>
        <v>251</v>
      </c>
      <c r="B252" s="10">
        <v>46467</v>
      </c>
      <c r="C252" s="4" t="s">
        <v>38</v>
      </c>
      <c r="D252" s="4" t="s">
        <v>30</v>
      </c>
    </row>
    <row r="253" spans="1:4" x14ac:dyDescent="0.4">
      <c r="A253" s="4">
        <f t="shared" ca="1" si="4"/>
        <v>252</v>
      </c>
      <c r="B253" s="10">
        <v>46468</v>
      </c>
      <c r="C253" s="4" t="s">
        <v>28</v>
      </c>
      <c r="D253" s="4" t="s">
        <v>39</v>
      </c>
    </row>
    <row r="254" spans="1:4" x14ac:dyDescent="0.4">
      <c r="A254" s="4">
        <f t="shared" ca="1" si="4"/>
        <v>253</v>
      </c>
      <c r="B254" s="10">
        <v>46506</v>
      </c>
      <c r="C254" s="4" t="s">
        <v>47</v>
      </c>
      <c r="D254" s="4" t="s">
        <v>32</v>
      </c>
    </row>
    <row r="255" spans="1:4" x14ac:dyDescent="0.4">
      <c r="A255" s="4">
        <f t="shared" ca="1" si="4"/>
        <v>254</v>
      </c>
      <c r="B255" s="10">
        <v>46510</v>
      </c>
      <c r="C255" s="4" t="s">
        <v>28</v>
      </c>
      <c r="D255" s="4" t="s">
        <v>33</v>
      </c>
    </row>
    <row r="256" spans="1:4" x14ac:dyDescent="0.4">
      <c r="A256" s="4">
        <f t="shared" ca="1" si="4"/>
        <v>255</v>
      </c>
      <c r="B256" s="10">
        <v>46511</v>
      </c>
      <c r="C256" s="4" t="s">
        <v>26</v>
      </c>
      <c r="D256" s="4" t="s">
        <v>35</v>
      </c>
    </row>
    <row r="257" spans="1:4" x14ac:dyDescent="0.4">
      <c r="A257" s="4">
        <f t="shared" ca="1" si="4"/>
        <v>256</v>
      </c>
      <c r="B257" s="10">
        <v>46512</v>
      </c>
      <c r="C257" s="4" t="s">
        <v>31</v>
      </c>
      <c r="D257" s="4" t="s">
        <v>37</v>
      </c>
    </row>
    <row r="258" spans="1:4" x14ac:dyDescent="0.4">
      <c r="A258" s="4">
        <f t="shared" ca="1" si="4"/>
        <v>257</v>
      </c>
      <c r="B258" s="10">
        <v>46587</v>
      </c>
      <c r="C258" s="4" t="s">
        <v>28</v>
      </c>
      <c r="D258" s="4" t="s">
        <v>40</v>
      </c>
    </row>
    <row r="259" spans="1:4" x14ac:dyDescent="0.4">
      <c r="A259" s="4">
        <f t="shared" ca="1" si="4"/>
        <v>258</v>
      </c>
      <c r="B259" s="10">
        <v>46610</v>
      </c>
      <c r="C259" s="4" t="s">
        <v>31</v>
      </c>
      <c r="D259" s="4" t="s">
        <v>49</v>
      </c>
    </row>
    <row r="260" spans="1:4" x14ac:dyDescent="0.4">
      <c r="A260" s="4">
        <f t="shared" ca="1" si="4"/>
        <v>259</v>
      </c>
      <c r="B260" s="10">
        <v>46650</v>
      </c>
      <c r="C260" s="4" t="s">
        <v>28</v>
      </c>
      <c r="D260" s="4" t="s">
        <v>41</v>
      </c>
    </row>
    <row r="261" spans="1:4" x14ac:dyDescent="0.4">
      <c r="A261" s="4">
        <f t="shared" ca="1" si="4"/>
        <v>260</v>
      </c>
      <c r="B261" s="10">
        <v>46653</v>
      </c>
      <c r="C261" s="4" t="s">
        <v>47</v>
      </c>
      <c r="D261" s="4" t="s">
        <v>42</v>
      </c>
    </row>
    <row r="262" spans="1:4" x14ac:dyDescent="0.4">
      <c r="A262" s="4">
        <f t="shared" ca="1" si="4"/>
        <v>261</v>
      </c>
      <c r="B262" s="10">
        <v>46671</v>
      </c>
      <c r="C262" s="4" t="s">
        <v>28</v>
      </c>
      <c r="D262" s="4" t="s">
        <v>43</v>
      </c>
    </row>
    <row r="263" spans="1:4" x14ac:dyDescent="0.4">
      <c r="A263" s="4">
        <f t="shared" ca="1" si="4"/>
        <v>262</v>
      </c>
      <c r="B263" s="10">
        <v>46694</v>
      </c>
      <c r="C263" s="4" t="s">
        <v>31</v>
      </c>
      <c r="D263" s="4" t="s">
        <v>44</v>
      </c>
    </row>
    <row r="264" spans="1:4" x14ac:dyDescent="0.4">
      <c r="A264" s="4">
        <f t="shared" ca="1" si="4"/>
        <v>263</v>
      </c>
      <c r="B264" s="10">
        <v>46714</v>
      </c>
      <c r="C264" s="4" t="s">
        <v>26</v>
      </c>
      <c r="D264" s="4" t="s">
        <v>45</v>
      </c>
    </row>
    <row r="265" spans="1:4" x14ac:dyDescent="0.4">
      <c r="A265" s="4">
        <f t="shared" ca="1" si="4"/>
        <v>264</v>
      </c>
      <c r="B265" s="10">
        <v>46744</v>
      </c>
      <c r="C265" s="4" t="s">
        <v>47</v>
      </c>
      <c r="D265" s="4" t="s">
        <v>46</v>
      </c>
    </row>
    <row r="266" spans="1:4" x14ac:dyDescent="0.4">
      <c r="A266" s="4">
        <f t="shared" ca="1" si="4"/>
        <v>265</v>
      </c>
      <c r="B266" s="10">
        <v>46753</v>
      </c>
      <c r="C266" s="4" t="s">
        <v>36</v>
      </c>
      <c r="D266" s="4" t="s">
        <v>25</v>
      </c>
    </row>
    <row r="267" spans="1:4" x14ac:dyDescent="0.4">
      <c r="A267" s="4">
        <f t="shared" ca="1" si="4"/>
        <v>266</v>
      </c>
      <c r="B267" s="10">
        <v>46762</v>
      </c>
      <c r="C267" s="4" t="s">
        <v>28</v>
      </c>
      <c r="D267" s="4" t="s">
        <v>27</v>
      </c>
    </row>
    <row r="268" spans="1:4" x14ac:dyDescent="0.4">
      <c r="A268" s="4">
        <f t="shared" ref="A268:A331" ca="1" si="5">INDIRECT(ADDRESS(ROW()-1,COLUMN()),TRUE)+1</f>
        <v>267</v>
      </c>
      <c r="B268" s="10">
        <v>46794</v>
      </c>
      <c r="C268" s="4" t="s">
        <v>34</v>
      </c>
      <c r="D268" s="4" t="s">
        <v>29</v>
      </c>
    </row>
    <row r="269" spans="1:4" x14ac:dyDescent="0.4">
      <c r="A269" s="4">
        <f t="shared" ca="1" si="5"/>
        <v>268</v>
      </c>
      <c r="B269" s="10">
        <v>46832</v>
      </c>
      <c r="C269" s="4" t="s">
        <v>28</v>
      </c>
      <c r="D269" s="4" t="s">
        <v>30</v>
      </c>
    </row>
    <row r="270" spans="1:4" x14ac:dyDescent="0.4">
      <c r="A270" s="4">
        <f t="shared" ca="1" si="5"/>
        <v>269</v>
      </c>
      <c r="B270" s="10">
        <v>46872</v>
      </c>
      <c r="C270" s="4" t="s">
        <v>36</v>
      </c>
      <c r="D270" s="4" t="s">
        <v>32</v>
      </c>
    </row>
    <row r="271" spans="1:4" x14ac:dyDescent="0.4">
      <c r="A271" s="4">
        <f t="shared" ca="1" si="5"/>
        <v>270</v>
      </c>
      <c r="B271" s="10">
        <v>46876</v>
      </c>
      <c r="C271" s="4" t="s">
        <v>31</v>
      </c>
      <c r="D271" s="4" t="s">
        <v>33</v>
      </c>
    </row>
    <row r="272" spans="1:4" x14ac:dyDescent="0.4">
      <c r="A272" s="4">
        <f t="shared" ca="1" si="5"/>
        <v>271</v>
      </c>
      <c r="B272" s="10">
        <v>46877</v>
      </c>
      <c r="C272" s="4" t="s">
        <v>47</v>
      </c>
      <c r="D272" s="4" t="s">
        <v>35</v>
      </c>
    </row>
    <row r="273" spans="1:4" x14ac:dyDescent="0.4">
      <c r="A273" s="4">
        <f t="shared" ca="1" si="5"/>
        <v>272</v>
      </c>
      <c r="B273" s="10">
        <v>46878</v>
      </c>
      <c r="C273" s="4" t="s">
        <v>34</v>
      </c>
      <c r="D273" s="4" t="s">
        <v>37</v>
      </c>
    </row>
    <row r="274" spans="1:4" x14ac:dyDescent="0.4">
      <c r="A274" s="4">
        <f t="shared" ca="1" si="5"/>
        <v>273</v>
      </c>
      <c r="B274" s="10">
        <v>46951</v>
      </c>
      <c r="C274" s="4" t="s">
        <v>28</v>
      </c>
      <c r="D274" s="4" t="s">
        <v>40</v>
      </c>
    </row>
    <row r="275" spans="1:4" x14ac:dyDescent="0.4">
      <c r="A275" s="4">
        <f t="shared" ca="1" si="5"/>
        <v>274</v>
      </c>
      <c r="B275" s="10">
        <v>46976</v>
      </c>
      <c r="C275" s="4" t="s">
        <v>34</v>
      </c>
      <c r="D275" s="4" t="s">
        <v>49</v>
      </c>
    </row>
    <row r="276" spans="1:4" x14ac:dyDescent="0.4">
      <c r="A276" s="4">
        <f t="shared" ca="1" si="5"/>
        <v>275</v>
      </c>
      <c r="B276" s="10">
        <v>47014</v>
      </c>
      <c r="C276" s="4" t="s">
        <v>28</v>
      </c>
      <c r="D276" s="4" t="s">
        <v>41</v>
      </c>
    </row>
    <row r="277" spans="1:4" x14ac:dyDescent="0.4">
      <c r="A277" s="4">
        <f t="shared" ca="1" si="5"/>
        <v>276</v>
      </c>
      <c r="B277" s="10">
        <v>47018</v>
      </c>
      <c r="C277" s="4" t="s">
        <v>34</v>
      </c>
      <c r="D277" s="4" t="s">
        <v>42</v>
      </c>
    </row>
    <row r="278" spans="1:4" x14ac:dyDescent="0.4">
      <c r="A278" s="4">
        <f t="shared" ca="1" si="5"/>
        <v>277</v>
      </c>
      <c r="B278" s="10">
        <v>47035</v>
      </c>
      <c r="C278" s="4" t="s">
        <v>28</v>
      </c>
      <c r="D278" s="4" t="s">
        <v>43</v>
      </c>
    </row>
    <row r="279" spans="1:4" x14ac:dyDescent="0.4">
      <c r="A279" s="4">
        <f t="shared" ca="1" si="5"/>
        <v>278</v>
      </c>
      <c r="B279" s="10">
        <v>47060</v>
      </c>
      <c r="C279" s="4" t="s">
        <v>34</v>
      </c>
      <c r="D279" s="4" t="s">
        <v>44</v>
      </c>
    </row>
    <row r="280" spans="1:4" x14ac:dyDescent="0.4">
      <c r="A280" s="4">
        <f t="shared" ca="1" si="5"/>
        <v>279</v>
      </c>
      <c r="B280" s="10">
        <v>47080</v>
      </c>
      <c r="C280" s="4" t="s">
        <v>47</v>
      </c>
      <c r="D280" s="4" t="s">
        <v>45</v>
      </c>
    </row>
    <row r="281" spans="1:4" x14ac:dyDescent="0.4">
      <c r="A281" s="4">
        <f t="shared" ca="1" si="5"/>
        <v>280</v>
      </c>
      <c r="B281" s="10">
        <v>47110</v>
      </c>
      <c r="C281" s="4" t="s">
        <v>36</v>
      </c>
      <c r="D281" s="4" t="s">
        <v>46</v>
      </c>
    </row>
    <row r="282" spans="1:4" x14ac:dyDescent="0.4">
      <c r="A282" s="4">
        <f t="shared" ca="1" si="5"/>
        <v>281</v>
      </c>
      <c r="B282" s="10">
        <v>47119</v>
      </c>
      <c r="C282" s="4" t="s">
        <v>28</v>
      </c>
      <c r="D282" s="4" t="s">
        <v>25</v>
      </c>
    </row>
    <row r="283" spans="1:4" x14ac:dyDescent="0.4">
      <c r="A283" s="4">
        <f t="shared" ca="1" si="5"/>
        <v>282</v>
      </c>
      <c r="B283" s="10">
        <v>47126</v>
      </c>
      <c r="C283" s="4" t="s">
        <v>28</v>
      </c>
      <c r="D283" s="4" t="s">
        <v>27</v>
      </c>
    </row>
    <row r="284" spans="1:4" x14ac:dyDescent="0.4">
      <c r="A284" s="4">
        <f t="shared" ca="1" si="5"/>
        <v>283</v>
      </c>
      <c r="B284" s="10">
        <v>47160</v>
      </c>
      <c r="C284" s="4" t="s">
        <v>38</v>
      </c>
      <c r="D284" s="4" t="s">
        <v>29</v>
      </c>
    </row>
    <row r="285" spans="1:4" x14ac:dyDescent="0.4">
      <c r="A285" s="4">
        <f t="shared" ca="1" si="5"/>
        <v>284</v>
      </c>
      <c r="B285" s="10">
        <v>47161</v>
      </c>
      <c r="C285" s="4" t="s">
        <v>28</v>
      </c>
      <c r="D285" s="4" t="s">
        <v>39</v>
      </c>
    </row>
    <row r="286" spans="1:4" x14ac:dyDescent="0.4">
      <c r="A286" s="4">
        <f t="shared" ca="1" si="5"/>
        <v>285</v>
      </c>
      <c r="B286" s="10">
        <v>47197</v>
      </c>
      <c r="C286" s="4" t="s">
        <v>26</v>
      </c>
      <c r="D286" s="4" t="s">
        <v>30</v>
      </c>
    </row>
    <row r="287" spans="1:4" x14ac:dyDescent="0.4">
      <c r="A287" s="4">
        <f t="shared" ca="1" si="5"/>
        <v>286</v>
      </c>
      <c r="B287" s="10">
        <v>47237</v>
      </c>
      <c r="C287" s="4" t="s">
        <v>38</v>
      </c>
      <c r="D287" s="4" t="s">
        <v>32</v>
      </c>
    </row>
    <row r="288" spans="1:4" x14ac:dyDescent="0.4">
      <c r="A288" s="4">
        <f t="shared" ca="1" si="5"/>
        <v>287</v>
      </c>
      <c r="B288" s="10">
        <v>47238</v>
      </c>
      <c r="C288" s="4" t="s">
        <v>28</v>
      </c>
      <c r="D288" s="4" t="s">
        <v>39</v>
      </c>
    </row>
    <row r="289" spans="1:4" x14ac:dyDescent="0.4">
      <c r="A289" s="4">
        <f t="shared" ca="1" si="5"/>
        <v>288</v>
      </c>
      <c r="B289" s="10">
        <v>47241</v>
      </c>
      <c r="C289" s="4" t="s">
        <v>47</v>
      </c>
      <c r="D289" s="4" t="s">
        <v>33</v>
      </c>
    </row>
    <row r="290" spans="1:4" x14ac:dyDescent="0.4">
      <c r="A290" s="4">
        <f t="shared" ca="1" si="5"/>
        <v>289</v>
      </c>
      <c r="B290" s="10">
        <v>47242</v>
      </c>
      <c r="C290" s="4" t="s">
        <v>34</v>
      </c>
      <c r="D290" s="4" t="s">
        <v>35</v>
      </c>
    </row>
    <row r="291" spans="1:4" x14ac:dyDescent="0.4">
      <c r="A291" s="4">
        <f t="shared" ca="1" si="5"/>
        <v>290</v>
      </c>
      <c r="B291" s="10">
        <v>47243</v>
      </c>
      <c r="C291" s="4" t="s">
        <v>36</v>
      </c>
      <c r="D291" s="4" t="s">
        <v>37</v>
      </c>
    </row>
    <row r="292" spans="1:4" x14ac:dyDescent="0.4">
      <c r="A292" s="4">
        <f t="shared" ca="1" si="5"/>
        <v>291</v>
      </c>
      <c r="B292" s="10">
        <v>47315</v>
      </c>
      <c r="C292" s="4" t="s">
        <v>28</v>
      </c>
      <c r="D292" s="4" t="s">
        <v>40</v>
      </c>
    </row>
    <row r="293" spans="1:4" x14ac:dyDescent="0.4">
      <c r="A293" s="4">
        <f t="shared" ca="1" si="5"/>
        <v>292</v>
      </c>
      <c r="B293" s="10">
        <v>47341</v>
      </c>
      <c r="C293" s="4" t="s">
        <v>36</v>
      </c>
      <c r="D293" s="4" t="s">
        <v>49</v>
      </c>
    </row>
    <row r="294" spans="1:4" x14ac:dyDescent="0.4">
      <c r="A294" s="4">
        <f t="shared" ca="1" si="5"/>
        <v>293</v>
      </c>
      <c r="B294" s="10">
        <v>47378</v>
      </c>
      <c r="C294" s="4" t="s">
        <v>28</v>
      </c>
      <c r="D294" s="4" t="s">
        <v>41</v>
      </c>
    </row>
    <row r="295" spans="1:4" x14ac:dyDescent="0.4">
      <c r="A295" s="4">
        <f t="shared" ca="1" si="5"/>
        <v>294</v>
      </c>
      <c r="B295" s="10">
        <v>47384</v>
      </c>
      <c r="C295" s="4" t="s">
        <v>38</v>
      </c>
      <c r="D295" s="4" t="s">
        <v>42</v>
      </c>
    </row>
    <row r="296" spans="1:4" x14ac:dyDescent="0.4">
      <c r="A296" s="4">
        <f t="shared" ca="1" si="5"/>
        <v>295</v>
      </c>
      <c r="B296" s="10">
        <v>47385</v>
      </c>
      <c r="C296" s="4" t="s">
        <v>28</v>
      </c>
      <c r="D296" s="4" t="s">
        <v>39</v>
      </c>
    </row>
    <row r="297" spans="1:4" x14ac:dyDescent="0.4">
      <c r="A297" s="4">
        <f t="shared" ca="1" si="5"/>
        <v>296</v>
      </c>
      <c r="B297" s="10">
        <v>47399</v>
      </c>
      <c r="C297" s="4" t="s">
        <v>28</v>
      </c>
      <c r="D297" s="4" t="s">
        <v>43</v>
      </c>
    </row>
    <row r="298" spans="1:4" x14ac:dyDescent="0.4">
      <c r="A298" s="4">
        <f t="shared" ca="1" si="5"/>
        <v>297</v>
      </c>
      <c r="B298" s="10">
        <v>47425</v>
      </c>
      <c r="C298" s="4" t="s">
        <v>36</v>
      </c>
      <c r="D298" s="4" t="s">
        <v>44</v>
      </c>
    </row>
    <row r="299" spans="1:4" x14ac:dyDescent="0.4">
      <c r="A299" s="4">
        <f t="shared" ca="1" si="5"/>
        <v>298</v>
      </c>
      <c r="B299" s="10">
        <v>47445</v>
      </c>
      <c r="C299" s="4" t="s">
        <v>34</v>
      </c>
      <c r="D299" s="4" t="s">
        <v>45</v>
      </c>
    </row>
    <row r="300" spans="1:4" x14ac:dyDescent="0.4">
      <c r="A300" s="4">
        <f t="shared" ca="1" si="5"/>
        <v>299</v>
      </c>
      <c r="B300" s="10">
        <v>47475</v>
      </c>
      <c r="C300" s="4" t="s">
        <v>38</v>
      </c>
      <c r="D300" s="4" t="s">
        <v>46</v>
      </c>
    </row>
    <row r="301" spans="1:4" x14ac:dyDescent="0.4">
      <c r="A301" s="4">
        <f t="shared" ca="1" si="5"/>
        <v>300</v>
      </c>
      <c r="B301" s="10">
        <v>47476</v>
      </c>
      <c r="C301" s="4" t="s">
        <v>28</v>
      </c>
      <c r="D301" s="4" t="s">
        <v>39</v>
      </c>
    </row>
    <row r="302" spans="1:4" x14ac:dyDescent="0.4">
      <c r="A302" s="4">
        <f t="shared" ca="1" si="5"/>
        <v>301</v>
      </c>
      <c r="B302" s="10">
        <v>47484</v>
      </c>
      <c r="C302" s="4" t="s">
        <v>26</v>
      </c>
      <c r="D302" s="4" t="s">
        <v>25</v>
      </c>
    </row>
    <row r="303" spans="1:4" x14ac:dyDescent="0.4">
      <c r="A303" s="4">
        <f t="shared" ca="1" si="5"/>
        <v>302</v>
      </c>
      <c r="B303" s="10">
        <v>47497</v>
      </c>
      <c r="C303" s="4" t="s">
        <v>28</v>
      </c>
      <c r="D303" s="4" t="s">
        <v>27</v>
      </c>
    </row>
    <row r="304" spans="1:4" x14ac:dyDescent="0.4">
      <c r="A304" s="4">
        <f t="shared" ca="1" si="5"/>
        <v>303</v>
      </c>
      <c r="B304" s="10">
        <v>47525</v>
      </c>
      <c r="C304" s="4" t="s">
        <v>28</v>
      </c>
      <c r="D304" s="4" t="s">
        <v>29</v>
      </c>
    </row>
    <row r="305" spans="1:4" x14ac:dyDescent="0.4">
      <c r="A305" s="4">
        <f t="shared" ca="1" si="5"/>
        <v>304</v>
      </c>
      <c r="B305" s="10">
        <v>47562</v>
      </c>
      <c r="C305" s="4" t="s">
        <v>31</v>
      </c>
      <c r="D305" s="4" t="s">
        <v>30</v>
      </c>
    </row>
    <row r="306" spans="1:4" x14ac:dyDescent="0.4">
      <c r="A306" s="4">
        <f t="shared" ca="1" si="5"/>
        <v>305</v>
      </c>
      <c r="B306" s="10">
        <v>47602</v>
      </c>
      <c r="C306" s="4" t="s">
        <v>28</v>
      </c>
      <c r="D306" s="4" t="s">
        <v>32</v>
      </c>
    </row>
    <row r="307" spans="1:4" x14ac:dyDescent="0.4">
      <c r="A307" s="4">
        <f t="shared" ca="1" si="5"/>
        <v>306</v>
      </c>
      <c r="B307" s="10">
        <v>47606</v>
      </c>
      <c r="C307" s="4" t="s">
        <v>34</v>
      </c>
      <c r="D307" s="4" t="s">
        <v>33</v>
      </c>
    </row>
    <row r="308" spans="1:4" x14ac:dyDescent="0.4">
      <c r="A308" s="4">
        <f t="shared" ca="1" si="5"/>
        <v>307</v>
      </c>
      <c r="B308" s="10">
        <v>47607</v>
      </c>
      <c r="C308" s="4" t="s">
        <v>36</v>
      </c>
      <c r="D308" s="4" t="s">
        <v>35</v>
      </c>
    </row>
    <row r="309" spans="1:4" x14ac:dyDescent="0.4">
      <c r="A309" s="4">
        <f t="shared" ca="1" si="5"/>
        <v>308</v>
      </c>
      <c r="B309" s="10">
        <v>47608</v>
      </c>
      <c r="C309" s="4" t="s">
        <v>38</v>
      </c>
      <c r="D309" s="4" t="s">
        <v>37</v>
      </c>
    </row>
    <row r="310" spans="1:4" x14ac:dyDescent="0.4">
      <c r="A310" s="4">
        <f t="shared" ca="1" si="5"/>
        <v>309</v>
      </c>
      <c r="B310" s="10">
        <v>47609</v>
      </c>
      <c r="C310" s="4" t="s">
        <v>28</v>
      </c>
      <c r="D310" s="4" t="s">
        <v>39</v>
      </c>
    </row>
    <row r="311" spans="1:4" x14ac:dyDescent="0.4">
      <c r="A311" s="4">
        <f t="shared" ca="1" si="5"/>
        <v>310</v>
      </c>
      <c r="B311" s="10">
        <v>47679</v>
      </c>
      <c r="C311" s="4" t="s">
        <v>28</v>
      </c>
      <c r="D311" s="4" t="s">
        <v>40</v>
      </c>
    </row>
    <row r="312" spans="1:4" x14ac:dyDescent="0.4">
      <c r="A312" s="4">
        <f t="shared" ca="1" si="5"/>
        <v>311</v>
      </c>
      <c r="B312" s="10">
        <v>47706</v>
      </c>
      <c r="C312" s="4" t="s">
        <v>38</v>
      </c>
      <c r="D312" s="4" t="s">
        <v>49</v>
      </c>
    </row>
    <row r="313" spans="1:4" x14ac:dyDescent="0.4">
      <c r="A313" s="4">
        <f t="shared" ca="1" si="5"/>
        <v>312</v>
      </c>
      <c r="B313" s="10">
        <v>47707</v>
      </c>
      <c r="C313" s="4" t="s">
        <v>28</v>
      </c>
      <c r="D313" s="4" t="s">
        <v>39</v>
      </c>
    </row>
    <row r="314" spans="1:4" x14ac:dyDescent="0.4">
      <c r="A314" s="4">
        <f t="shared" ca="1" si="5"/>
        <v>313</v>
      </c>
      <c r="B314" s="10">
        <v>47742</v>
      </c>
      <c r="C314" s="4" t="s">
        <v>28</v>
      </c>
      <c r="D314" s="4" t="s">
        <v>41</v>
      </c>
    </row>
    <row r="315" spans="1:4" x14ac:dyDescent="0.4">
      <c r="A315" s="4">
        <f t="shared" ca="1" si="5"/>
        <v>314</v>
      </c>
      <c r="B315" s="10">
        <v>47749</v>
      </c>
      <c r="C315" s="4" t="s">
        <v>28</v>
      </c>
      <c r="D315" s="4" t="s">
        <v>42</v>
      </c>
    </row>
    <row r="316" spans="1:4" x14ac:dyDescent="0.4">
      <c r="A316" s="4">
        <f t="shared" ca="1" si="5"/>
        <v>315</v>
      </c>
      <c r="B316" s="10">
        <v>47770</v>
      </c>
      <c r="C316" s="4" t="s">
        <v>28</v>
      </c>
      <c r="D316" s="4" t="s">
        <v>43</v>
      </c>
    </row>
    <row r="317" spans="1:4" x14ac:dyDescent="0.4">
      <c r="A317" s="4">
        <f t="shared" ca="1" si="5"/>
        <v>316</v>
      </c>
      <c r="B317" s="10">
        <v>47790</v>
      </c>
      <c r="C317" s="4" t="s">
        <v>38</v>
      </c>
      <c r="D317" s="4" t="s">
        <v>44</v>
      </c>
    </row>
    <row r="318" spans="1:4" x14ac:dyDescent="0.4">
      <c r="A318" s="4">
        <f t="shared" ca="1" si="5"/>
        <v>317</v>
      </c>
      <c r="B318" s="10">
        <v>47791</v>
      </c>
      <c r="C318" s="4" t="s">
        <v>28</v>
      </c>
      <c r="D318" s="4" t="s">
        <v>39</v>
      </c>
    </row>
    <row r="319" spans="1:4" x14ac:dyDescent="0.4">
      <c r="A319" s="4">
        <f t="shared" ca="1" si="5"/>
        <v>318</v>
      </c>
      <c r="B319" s="10">
        <v>47810</v>
      </c>
      <c r="C319" s="4" t="s">
        <v>36</v>
      </c>
      <c r="D319" s="4" t="s">
        <v>45</v>
      </c>
    </row>
    <row r="320" spans="1:4" x14ac:dyDescent="0.4">
      <c r="A320" s="4">
        <f t="shared" ca="1" si="5"/>
        <v>319</v>
      </c>
      <c r="B320" s="10">
        <v>47840</v>
      </c>
      <c r="C320" s="4" t="s">
        <v>28</v>
      </c>
      <c r="D320" s="4" t="s">
        <v>46</v>
      </c>
    </row>
    <row r="321" spans="1:4" x14ac:dyDescent="0.4">
      <c r="A321" s="4">
        <f t="shared" ca="1" si="5"/>
        <v>320</v>
      </c>
      <c r="B321" s="10">
        <v>47849</v>
      </c>
      <c r="C321" s="4" t="s">
        <v>31</v>
      </c>
      <c r="D321" s="4" t="s">
        <v>25</v>
      </c>
    </row>
    <row r="322" spans="1:4" x14ac:dyDescent="0.4">
      <c r="A322" s="4">
        <f t="shared" ca="1" si="5"/>
        <v>321</v>
      </c>
      <c r="B322" s="10">
        <v>47861</v>
      </c>
      <c r="C322" s="4" t="s">
        <v>28</v>
      </c>
      <c r="D322" s="4" t="s">
        <v>27</v>
      </c>
    </row>
    <row r="323" spans="1:4" x14ac:dyDescent="0.4">
      <c r="A323" s="4">
        <f t="shared" ca="1" si="5"/>
        <v>322</v>
      </c>
      <c r="B323" s="10">
        <v>47890</v>
      </c>
      <c r="C323" s="4" t="s">
        <v>26</v>
      </c>
      <c r="D323" s="4" t="s">
        <v>29</v>
      </c>
    </row>
    <row r="324" spans="1:4" x14ac:dyDescent="0.4">
      <c r="A324" s="4">
        <f t="shared" ca="1" si="5"/>
        <v>323</v>
      </c>
      <c r="B324" s="10">
        <v>47928</v>
      </c>
      <c r="C324" s="4" t="s">
        <v>34</v>
      </c>
      <c r="D324" s="4" t="s">
        <v>30</v>
      </c>
    </row>
    <row r="325" spans="1:4" x14ac:dyDescent="0.4">
      <c r="A325" s="4">
        <f t="shared" ca="1" si="5"/>
        <v>324</v>
      </c>
      <c r="B325" s="10">
        <v>47967</v>
      </c>
      <c r="C325" s="4" t="s">
        <v>26</v>
      </c>
      <c r="D325" s="4" t="s">
        <v>32</v>
      </c>
    </row>
    <row r="326" spans="1:4" x14ac:dyDescent="0.4">
      <c r="A326" s="4">
        <f t="shared" ca="1" si="5"/>
        <v>325</v>
      </c>
      <c r="B326" s="10">
        <v>47971</v>
      </c>
      <c r="C326" s="4" t="s">
        <v>36</v>
      </c>
      <c r="D326" s="4" t="s">
        <v>33</v>
      </c>
    </row>
    <row r="327" spans="1:4" x14ac:dyDescent="0.4">
      <c r="A327" s="4">
        <f t="shared" ca="1" si="5"/>
        <v>326</v>
      </c>
      <c r="B327" s="10">
        <v>47972</v>
      </c>
      <c r="C327" s="4" t="s">
        <v>38</v>
      </c>
      <c r="D327" s="4" t="s">
        <v>35</v>
      </c>
    </row>
    <row r="328" spans="1:4" x14ac:dyDescent="0.4">
      <c r="A328" s="4">
        <f t="shared" ca="1" si="5"/>
        <v>327</v>
      </c>
      <c r="B328" s="10">
        <v>47973</v>
      </c>
      <c r="C328" s="4" t="s">
        <v>28</v>
      </c>
      <c r="D328" s="4" t="s">
        <v>37</v>
      </c>
    </row>
    <row r="329" spans="1:4" x14ac:dyDescent="0.4">
      <c r="A329" s="4">
        <f t="shared" ca="1" si="5"/>
        <v>328</v>
      </c>
      <c r="B329" s="10">
        <v>47974</v>
      </c>
      <c r="C329" s="4" t="s">
        <v>26</v>
      </c>
      <c r="D329" s="4" t="s">
        <v>39</v>
      </c>
    </row>
    <row r="330" spans="1:4" x14ac:dyDescent="0.4">
      <c r="A330" s="4">
        <f t="shared" ca="1" si="5"/>
        <v>329</v>
      </c>
      <c r="B330" s="10">
        <v>48050</v>
      </c>
      <c r="C330" s="4" t="s">
        <v>28</v>
      </c>
      <c r="D330" s="4" t="s">
        <v>40</v>
      </c>
    </row>
    <row r="331" spans="1:4" x14ac:dyDescent="0.4">
      <c r="A331" s="4">
        <f t="shared" ca="1" si="5"/>
        <v>330</v>
      </c>
      <c r="B331" s="10">
        <v>48071</v>
      </c>
      <c r="C331" s="4" t="s">
        <v>28</v>
      </c>
      <c r="D331" s="4" t="s">
        <v>49</v>
      </c>
    </row>
    <row r="332" spans="1:4" x14ac:dyDescent="0.4">
      <c r="A332" s="4">
        <f t="shared" ref="A332:A355" ca="1" si="6">INDIRECT(ADDRESS(ROW()-1,COLUMN()),TRUE)+1</f>
        <v>331</v>
      </c>
      <c r="B332" s="10">
        <v>48106</v>
      </c>
      <c r="C332" s="4" t="s">
        <v>28</v>
      </c>
      <c r="D332" s="4" t="s">
        <v>41</v>
      </c>
    </row>
    <row r="333" spans="1:4" x14ac:dyDescent="0.4">
      <c r="A333" s="4">
        <f t="shared" ca="1" si="6"/>
        <v>332</v>
      </c>
      <c r="B333" s="10">
        <v>48114</v>
      </c>
      <c r="C333" s="4" t="s">
        <v>26</v>
      </c>
      <c r="D333" s="4" t="s">
        <v>42</v>
      </c>
    </row>
    <row r="334" spans="1:4" x14ac:dyDescent="0.4">
      <c r="A334" s="4">
        <f t="shared" ca="1" si="6"/>
        <v>333</v>
      </c>
      <c r="B334" s="10">
        <v>48134</v>
      </c>
      <c r="C334" s="4" t="s">
        <v>28</v>
      </c>
      <c r="D334" s="4" t="s">
        <v>43</v>
      </c>
    </row>
    <row r="335" spans="1:4" x14ac:dyDescent="0.4">
      <c r="A335" s="4">
        <f t="shared" ca="1" si="6"/>
        <v>334</v>
      </c>
      <c r="B335" s="10">
        <v>48155</v>
      </c>
      <c r="C335" s="4" t="s">
        <v>28</v>
      </c>
      <c r="D335" s="4" t="s">
        <v>44</v>
      </c>
    </row>
    <row r="336" spans="1:4" x14ac:dyDescent="0.4">
      <c r="A336" s="4">
        <f t="shared" ca="1" si="6"/>
        <v>335</v>
      </c>
      <c r="B336" s="10">
        <v>48175</v>
      </c>
      <c r="C336" s="4" t="s">
        <v>38</v>
      </c>
      <c r="D336" s="4" t="s">
        <v>45</v>
      </c>
    </row>
    <row r="337" spans="1:4" x14ac:dyDescent="0.4">
      <c r="A337" s="4">
        <f t="shared" ca="1" si="6"/>
        <v>336</v>
      </c>
      <c r="B337" s="10">
        <v>48176</v>
      </c>
      <c r="C337" s="4" t="s">
        <v>28</v>
      </c>
      <c r="D337" s="4" t="s">
        <v>39</v>
      </c>
    </row>
    <row r="338" spans="1:4" x14ac:dyDescent="0.4">
      <c r="A338" s="4">
        <f t="shared" ca="1" si="6"/>
        <v>337</v>
      </c>
      <c r="B338" s="10">
        <v>48205</v>
      </c>
      <c r="C338" s="4" t="s">
        <v>26</v>
      </c>
      <c r="D338" s="4" t="s">
        <v>46</v>
      </c>
    </row>
    <row r="339" spans="1:4" x14ac:dyDescent="0.4">
      <c r="A339" s="4">
        <f t="shared" ca="1" si="6"/>
        <v>338</v>
      </c>
      <c r="B339" s="10">
        <v>48214</v>
      </c>
      <c r="C339" s="4" t="s">
        <v>47</v>
      </c>
      <c r="D339" s="4" t="s">
        <v>25</v>
      </c>
    </row>
    <row r="340" spans="1:4" x14ac:dyDescent="0.4">
      <c r="A340" s="4">
        <f t="shared" ca="1" si="6"/>
        <v>339</v>
      </c>
      <c r="B340" s="10">
        <v>48225</v>
      </c>
      <c r="C340" s="4" t="s">
        <v>28</v>
      </c>
      <c r="D340" s="4" t="s">
        <v>27</v>
      </c>
    </row>
    <row r="341" spans="1:4" x14ac:dyDescent="0.4">
      <c r="A341" s="4">
        <f t="shared" ca="1" si="6"/>
        <v>340</v>
      </c>
      <c r="B341" s="10">
        <v>48255</v>
      </c>
      <c r="C341" s="4" t="s">
        <v>31</v>
      </c>
      <c r="D341" s="4" t="s">
        <v>29</v>
      </c>
    </row>
    <row r="342" spans="1:4" x14ac:dyDescent="0.4">
      <c r="A342" s="4">
        <f t="shared" ca="1" si="6"/>
        <v>341</v>
      </c>
      <c r="B342" s="10">
        <v>48293</v>
      </c>
      <c r="C342" s="4" t="s">
        <v>36</v>
      </c>
      <c r="D342" s="4" t="s">
        <v>30</v>
      </c>
    </row>
    <row r="343" spans="1:4" x14ac:dyDescent="0.4">
      <c r="A343" s="4">
        <f t="shared" ca="1" si="6"/>
        <v>342</v>
      </c>
      <c r="B343" s="10">
        <v>48333</v>
      </c>
      <c r="C343" s="4" t="s">
        <v>47</v>
      </c>
      <c r="D343" s="4" t="s">
        <v>32</v>
      </c>
    </row>
    <row r="344" spans="1:4" x14ac:dyDescent="0.4">
      <c r="A344" s="4">
        <f t="shared" ca="1" si="6"/>
        <v>343</v>
      </c>
      <c r="B344" s="10">
        <v>48337</v>
      </c>
      <c r="C344" s="4" t="s">
        <v>28</v>
      </c>
      <c r="D344" s="4" t="s">
        <v>33</v>
      </c>
    </row>
    <row r="345" spans="1:4" x14ac:dyDescent="0.4">
      <c r="A345" s="4">
        <f t="shared" ca="1" si="6"/>
        <v>344</v>
      </c>
      <c r="B345" s="10">
        <v>48338</v>
      </c>
      <c r="C345" s="4" t="s">
        <v>26</v>
      </c>
      <c r="D345" s="4" t="s">
        <v>35</v>
      </c>
    </row>
    <row r="346" spans="1:4" x14ac:dyDescent="0.4">
      <c r="A346" s="4">
        <f t="shared" ca="1" si="6"/>
        <v>345</v>
      </c>
      <c r="B346" s="10">
        <v>48339</v>
      </c>
      <c r="C346" s="4" t="s">
        <v>31</v>
      </c>
      <c r="D346" s="4" t="s">
        <v>37</v>
      </c>
    </row>
    <row r="347" spans="1:4" x14ac:dyDescent="0.4">
      <c r="A347" s="4">
        <f t="shared" ca="1" si="6"/>
        <v>346</v>
      </c>
      <c r="B347" s="10">
        <v>48414</v>
      </c>
      <c r="C347" s="4" t="s">
        <v>28</v>
      </c>
      <c r="D347" s="4" t="s">
        <v>40</v>
      </c>
    </row>
    <row r="348" spans="1:4" x14ac:dyDescent="0.4">
      <c r="A348" s="4">
        <f t="shared" ca="1" si="6"/>
        <v>347</v>
      </c>
      <c r="B348" s="10">
        <v>48437</v>
      </c>
      <c r="C348" s="4" t="s">
        <v>31</v>
      </c>
      <c r="D348" s="4" t="s">
        <v>49</v>
      </c>
    </row>
    <row r="349" spans="1:4" x14ac:dyDescent="0.4">
      <c r="A349" s="4">
        <f t="shared" ca="1" si="6"/>
        <v>348</v>
      </c>
      <c r="B349" s="10">
        <v>48477</v>
      </c>
      <c r="C349" s="4" t="s">
        <v>28</v>
      </c>
      <c r="D349" s="4" t="s">
        <v>41</v>
      </c>
    </row>
    <row r="350" spans="1:4" x14ac:dyDescent="0.4">
      <c r="A350" s="4">
        <f t="shared" ca="1" si="6"/>
        <v>349</v>
      </c>
      <c r="B350" s="10">
        <v>48478</v>
      </c>
      <c r="C350" s="4" t="s">
        <v>26</v>
      </c>
      <c r="D350" s="4" t="s">
        <v>48</v>
      </c>
    </row>
    <row r="351" spans="1:4" x14ac:dyDescent="0.4">
      <c r="A351" s="4">
        <f t="shared" ca="1" si="6"/>
        <v>350</v>
      </c>
      <c r="B351" s="10">
        <v>48479</v>
      </c>
      <c r="C351" s="4" t="s">
        <v>31</v>
      </c>
      <c r="D351" s="4" t="s">
        <v>42</v>
      </c>
    </row>
    <row r="352" spans="1:4" x14ac:dyDescent="0.4">
      <c r="A352" s="4">
        <f t="shared" ca="1" si="6"/>
        <v>351</v>
      </c>
      <c r="B352" s="10">
        <v>48498</v>
      </c>
      <c r="C352" s="4" t="s">
        <v>28</v>
      </c>
      <c r="D352" s="4" t="s">
        <v>43</v>
      </c>
    </row>
    <row r="353" spans="1:4" x14ac:dyDescent="0.4">
      <c r="A353" s="4">
        <f t="shared" ca="1" si="6"/>
        <v>352</v>
      </c>
      <c r="B353" s="10">
        <v>48521</v>
      </c>
      <c r="C353" s="4" t="s">
        <v>31</v>
      </c>
      <c r="D353" s="4" t="s">
        <v>44</v>
      </c>
    </row>
    <row r="354" spans="1:4" x14ac:dyDescent="0.4">
      <c r="A354" s="4">
        <f t="shared" ca="1" si="6"/>
        <v>353</v>
      </c>
      <c r="B354" s="10">
        <v>48541</v>
      </c>
      <c r="C354" s="4" t="s">
        <v>26</v>
      </c>
      <c r="D354" s="4" t="s">
        <v>45</v>
      </c>
    </row>
    <row r="355" spans="1:4" x14ac:dyDescent="0.4">
      <c r="A355" s="4">
        <f t="shared" ca="1" si="6"/>
        <v>354</v>
      </c>
      <c r="B355" s="10">
        <v>48571</v>
      </c>
      <c r="C355" s="4" t="s">
        <v>47</v>
      </c>
      <c r="D355" s="4" t="s">
        <v>46</v>
      </c>
    </row>
  </sheetData>
  <phoneticPr fontId="1"/>
  <pageMargins left="0.7" right="0.7" top="0.75" bottom="0.75" header="0.3" footer="0.3"/>
  <pageSetup paperSize="9" orientation="portrait" horizontalDpi="300" verticalDpi="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MemberSheet">
    <tabColor rgb="FF00B050"/>
  </sheetPr>
  <dimension ref="A1:D11"/>
  <sheetViews>
    <sheetView workbookViewId="0">
      <pane ySplit="1" topLeftCell="A2" activePane="bottomLeft" state="frozen"/>
      <selection activeCell="D25" sqref="D25"/>
      <selection pane="bottomLeft" activeCell="A11" sqref="A11"/>
    </sheetView>
  </sheetViews>
  <sheetFormatPr defaultRowHeight="16.5" x14ac:dyDescent="0.4"/>
  <cols>
    <col min="1" max="1" width="3.5" style="4" bestFit="1" customWidth="1"/>
    <col min="2" max="2" width="9.125" style="4" bestFit="1" customWidth="1"/>
    <col min="3" max="3" width="11.875" style="12" bestFit="1" customWidth="1"/>
    <col min="4" max="4" width="11.5" style="4" bestFit="1" customWidth="1"/>
  </cols>
  <sheetData>
    <row r="1" spans="1:4" x14ac:dyDescent="0.4">
      <c r="A1" s="9" t="s">
        <v>50</v>
      </c>
      <c r="B1" s="9" t="s">
        <v>64</v>
      </c>
      <c r="C1" s="13" t="s">
        <v>74</v>
      </c>
      <c r="D1" s="9" t="s">
        <v>53</v>
      </c>
    </row>
    <row r="2" spans="1:4" x14ac:dyDescent="0.4">
      <c r="A2" s="4">
        <v>1</v>
      </c>
      <c r="B2" s="11" t="s">
        <v>19</v>
      </c>
      <c r="C2" s="14" t="s">
        <v>75</v>
      </c>
    </row>
    <row r="3" spans="1:4" x14ac:dyDescent="0.4">
      <c r="A3" s="4">
        <f t="shared" ref="A3:A11" si="0">INDIRECT(ADDRESS(ROW()-1,COLUMN()),TRUE)+1</f>
        <v>2</v>
      </c>
      <c r="B3" s="15" t="s">
        <v>20</v>
      </c>
      <c r="C3" s="14" t="s">
        <v>76</v>
      </c>
    </row>
    <row r="4" spans="1:4" x14ac:dyDescent="0.4">
      <c r="A4" s="4">
        <f t="shared" si="0"/>
        <v>3</v>
      </c>
      <c r="B4" s="16" t="s">
        <v>3</v>
      </c>
      <c r="C4" s="14" t="s">
        <v>77</v>
      </c>
    </row>
    <row r="5" spans="1:4" x14ac:dyDescent="0.4">
      <c r="A5" s="4">
        <f t="shared" si="0"/>
        <v>4</v>
      </c>
      <c r="B5" s="17" t="s">
        <v>5</v>
      </c>
      <c r="C5" s="14" t="s">
        <v>78</v>
      </c>
    </row>
    <row r="6" spans="1:4" x14ac:dyDescent="0.4">
      <c r="A6" s="4">
        <f t="shared" si="0"/>
        <v>5</v>
      </c>
      <c r="B6" s="18" t="s">
        <v>7</v>
      </c>
      <c r="C6" s="14" t="s">
        <v>79</v>
      </c>
    </row>
    <row r="7" spans="1:4" x14ac:dyDescent="0.4">
      <c r="A7" s="4">
        <f t="shared" si="0"/>
        <v>6</v>
      </c>
      <c r="B7" s="19" t="s">
        <v>9</v>
      </c>
      <c r="C7" s="14" t="s">
        <v>80</v>
      </c>
    </row>
    <row r="8" spans="1:4" x14ac:dyDescent="0.4">
      <c r="A8" s="4">
        <f t="shared" si="0"/>
        <v>7</v>
      </c>
      <c r="B8" s="55" t="s">
        <v>10</v>
      </c>
      <c r="C8" s="14" t="s">
        <v>97</v>
      </c>
    </row>
    <row r="9" spans="1:4" x14ac:dyDescent="0.4">
      <c r="A9" s="4">
        <f t="shared" si="0"/>
        <v>8</v>
      </c>
      <c r="B9" s="20" t="s">
        <v>11</v>
      </c>
      <c r="C9" s="14" t="s">
        <v>81</v>
      </c>
    </row>
    <row r="10" spans="1:4" x14ac:dyDescent="0.4">
      <c r="A10" s="4">
        <f t="shared" si="0"/>
        <v>9</v>
      </c>
      <c r="B10" s="21" t="s">
        <v>13</v>
      </c>
      <c r="C10" s="14" t="s">
        <v>82</v>
      </c>
    </row>
    <row r="11" spans="1:4" x14ac:dyDescent="0.4">
      <c r="A11" s="4">
        <f t="shared" si="0"/>
        <v>10</v>
      </c>
      <c r="B11" s="22" t="s">
        <v>15</v>
      </c>
      <c r="C11" s="14" t="s">
        <v>83</v>
      </c>
    </row>
  </sheetData>
  <phoneticPr fontId="1"/>
  <pageMargins left="0.7" right="0.7" top="0.75" bottom="0.75" header="0.3" footer="0.3"/>
  <pageSetup paperSize="9" orientation="portrait" horizontalDpi="300" verticalDpi="0" r:id="rId1"/>
  <ignoredErrors>
    <ignoredError sqref="C2:C11" numberStoredAsText="1"/>
  </ignoredError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tatusSheet">
    <tabColor rgb="FF00B050"/>
  </sheetPr>
  <dimension ref="A1:D12"/>
  <sheetViews>
    <sheetView workbookViewId="0">
      <pane ySplit="1" topLeftCell="A2" activePane="bottomLeft" state="frozen"/>
      <selection activeCell="D25" sqref="D25"/>
      <selection pane="bottomLeft" activeCell="C2" sqref="C2:C9"/>
    </sheetView>
  </sheetViews>
  <sheetFormatPr defaultRowHeight="16.5" x14ac:dyDescent="0.4"/>
  <cols>
    <col min="1" max="1" width="3.5" style="4" bestFit="1" customWidth="1"/>
    <col min="2" max="2" width="8" style="4" bestFit="1" customWidth="1"/>
    <col min="3" max="3" width="11.875" style="4" bestFit="1" customWidth="1"/>
    <col min="4" max="4" width="11.5" style="4" bestFit="1" customWidth="1"/>
  </cols>
  <sheetData>
    <row r="1" spans="1:4" x14ac:dyDescent="0.4">
      <c r="A1" s="9" t="s">
        <v>51</v>
      </c>
      <c r="B1" s="9" t="s">
        <v>52</v>
      </c>
      <c r="C1" s="9" t="s">
        <v>74</v>
      </c>
      <c r="D1" s="9" t="s">
        <v>53</v>
      </c>
    </row>
    <row r="2" spans="1:4" x14ac:dyDescent="0.4">
      <c r="A2" s="4">
        <v>1</v>
      </c>
      <c r="B2" s="35" t="s">
        <v>16</v>
      </c>
      <c r="C2" s="23" t="s">
        <v>95</v>
      </c>
    </row>
    <row r="3" spans="1:4" x14ac:dyDescent="0.4">
      <c r="A3" s="4">
        <f t="shared" ref="A3:A12" ca="1" si="0">INDIRECT(ADDRESS(ROW()-1,COLUMN()),TRUE)+1</f>
        <v>2</v>
      </c>
      <c r="B3" s="25" t="s">
        <v>21</v>
      </c>
      <c r="C3" s="23" t="s">
        <v>84</v>
      </c>
    </row>
    <row r="4" spans="1:4" x14ac:dyDescent="0.4">
      <c r="A4" s="4">
        <f t="shared" ca="1" si="0"/>
        <v>3</v>
      </c>
      <c r="B4" s="26" t="s">
        <v>22</v>
      </c>
      <c r="C4" s="23" t="s">
        <v>93</v>
      </c>
    </row>
    <row r="5" spans="1:4" x14ac:dyDescent="0.4">
      <c r="A5" s="4">
        <f t="shared" ca="1" si="0"/>
        <v>4</v>
      </c>
      <c r="B5" s="27" t="s">
        <v>94</v>
      </c>
      <c r="C5" s="23" t="s">
        <v>85</v>
      </c>
    </row>
    <row r="6" spans="1:4" x14ac:dyDescent="0.4">
      <c r="A6" s="4">
        <f t="shared" ca="1" si="0"/>
        <v>5</v>
      </c>
      <c r="B6" s="28" t="s">
        <v>23</v>
      </c>
      <c r="C6" s="24" t="s">
        <v>86</v>
      </c>
    </row>
    <row r="7" spans="1:4" x14ac:dyDescent="0.4">
      <c r="A7" s="4">
        <f t="shared" ca="1" si="0"/>
        <v>6</v>
      </c>
      <c r="B7" s="29" t="s">
        <v>69</v>
      </c>
      <c r="C7" s="23" t="s">
        <v>87</v>
      </c>
    </row>
    <row r="8" spans="1:4" x14ac:dyDescent="0.4">
      <c r="A8" s="4">
        <f t="shared" ca="1" si="0"/>
        <v>7</v>
      </c>
      <c r="B8" s="30" t="s">
        <v>72</v>
      </c>
      <c r="C8" s="23" t="s">
        <v>92</v>
      </c>
    </row>
    <row r="9" spans="1:4" x14ac:dyDescent="0.4">
      <c r="A9" s="4">
        <f t="shared" ca="1" si="0"/>
        <v>8</v>
      </c>
      <c r="B9" s="31" t="s">
        <v>17</v>
      </c>
      <c r="C9" s="23" t="s">
        <v>91</v>
      </c>
    </row>
    <row r="10" spans="1:4" x14ac:dyDescent="0.4">
      <c r="A10" s="4">
        <f t="shared" ca="1" si="0"/>
        <v>9</v>
      </c>
      <c r="B10" s="32" t="s">
        <v>71</v>
      </c>
      <c r="C10" s="24" t="s">
        <v>89</v>
      </c>
    </row>
    <row r="11" spans="1:4" x14ac:dyDescent="0.4">
      <c r="A11" s="4">
        <f t="shared" ca="1" si="0"/>
        <v>10</v>
      </c>
      <c r="B11" s="33" t="s">
        <v>24</v>
      </c>
      <c r="C11" s="23" t="s">
        <v>90</v>
      </c>
    </row>
    <row r="12" spans="1:4" x14ac:dyDescent="0.4">
      <c r="A12" s="4">
        <f t="shared" ca="1" si="0"/>
        <v>11</v>
      </c>
      <c r="B12" s="34" t="s">
        <v>68</v>
      </c>
      <c r="C12" s="23" t="s">
        <v>88</v>
      </c>
    </row>
  </sheetData>
  <phoneticPr fontId="1"/>
  <pageMargins left="0.7" right="0.7" top="0.75" bottom="0.75" header="0.3" footer="0.3"/>
  <pageSetup paperSize="9" orientation="portrait" horizontalDpi="300" verticalDpi="0" r:id="rId1"/>
  <ignoredErrors>
    <ignoredError sqref="C2:C9" numberStoredAsText="1"/>
  </ignoredError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4</vt:i4>
      </vt:variant>
      <vt:variant>
        <vt:lpstr>名前付き一覧</vt:lpstr>
      </vt:variant>
      <vt:variant>
        <vt:i4>1</vt:i4>
      </vt:variant>
    </vt:vector>
  </HeadingPairs>
  <TitlesOfParts>
    <vt:vector size="5" baseType="lpstr">
      <vt:lpstr>main</vt:lpstr>
      <vt:lpstr>holiday</vt:lpstr>
      <vt:lpstr>member</vt:lpstr>
      <vt:lpstr>status</vt:lpstr>
      <vt:lpstr>main!Print_Area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2016-05-24T02:20:22Z</dcterms:created>
  <dcterms:modified xsi:type="dcterms:W3CDTF">2016-07-05T02:23:38Z</dcterms:modified>
  <cp:contentStatus/>
</cp:coreProperties>
</file>