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main!$A$1:$AN$38</definedName>
    <definedName name="RTVEndDate">42582</definedName>
    <definedName name="RTVStartDate">42552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B8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E8" i="1"/>
  <c r="B9" i="1"/>
  <c r="A3" i="4"/>
  <c r="A3" i="3"/>
  <c r="A4" i="4"/>
  <c r="A5" i="4"/>
  <c r="A6" i="4"/>
  <c r="A7" i="4" s="1"/>
  <c r="A4" i="3"/>
  <c r="A5" i="3"/>
  <c r="A6" i="3" s="1"/>
  <c r="A7" i="3" s="1"/>
  <c r="A8" i="4"/>
  <c r="A9" i="4"/>
  <c r="A8" i="3"/>
  <c r="A9" i="3"/>
  <c r="A10" i="3" s="1"/>
  <c r="A10" i="4"/>
  <c r="A11" i="4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12" i="4"/>
  <c r="B10" i="1"/>
  <c r="B11" i="1"/>
  <c r="B12" i="1"/>
  <c r="B13" i="1"/>
  <c r="B14" i="1"/>
  <c r="B15" i="1"/>
  <c r="B16" i="1"/>
  <c r="B18" i="1"/>
  <c r="B19" i="1"/>
  <c r="B20" i="1"/>
  <c r="B21" i="1"/>
  <c r="B22" i="1"/>
  <c r="B23" i="1"/>
  <c r="B24" i="1"/>
  <c r="B25" i="1"/>
  <c r="B26" i="1"/>
  <c r="B27" i="1"/>
  <c r="B29" i="1"/>
  <c r="B30" i="1"/>
  <c r="B31" i="1"/>
  <c r="B32" i="1"/>
  <c r="B33" i="1"/>
  <c r="B34" i="1"/>
  <c r="B35" i="1"/>
  <c r="B36" i="1"/>
  <c r="B37" i="1"/>
  <c r="B38" i="1"/>
  <c r="H8" i="1"/>
  <c r="E9" i="1"/>
  <c r="H9" i="1"/>
  <c r="E10" i="1" s="1"/>
  <c r="H10" i="1" s="1"/>
  <c r="E11" i="1"/>
  <c r="H11" i="1"/>
  <c r="E12" i="1" s="1"/>
  <c r="H12" i="1" s="1"/>
  <c r="E13" i="1"/>
  <c r="H13" i="1"/>
  <c r="E14" i="1" s="1"/>
  <c r="H14" i="1" s="1"/>
  <c r="E15" i="1"/>
  <c r="H15" i="1"/>
  <c r="E16" i="1" s="1"/>
  <c r="H16" i="1" s="1"/>
  <c r="E18" i="1" s="1"/>
  <c r="H18" i="1"/>
  <c r="E19" i="1"/>
  <c r="H19" i="1" s="1"/>
  <c r="E20" i="1"/>
  <c r="H20" i="1"/>
  <c r="E21" i="1"/>
  <c r="H21" i="1" s="1"/>
  <c r="E22" i="1"/>
  <c r="H22" i="1" s="1"/>
  <c r="E23" i="1"/>
  <c r="H23" i="1"/>
  <c r="E24" i="1" s="1"/>
  <c r="H24" i="1" s="1"/>
  <c r="E25" i="1"/>
  <c r="H25" i="1"/>
  <c r="E26" i="1" s="1"/>
  <c r="H26" i="1" s="1"/>
  <c r="E27" i="1"/>
  <c r="H27" i="1" s="1"/>
  <c r="E29" i="1" s="1"/>
  <c r="H29" i="1"/>
  <c r="E30" i="1"/>
  <c r="H30" i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 s="1"/>
</calcChain>
</file>

<file path=xl/sharedStrings.xml><?xml version="1.0" encoding="utf-8"?>
<sst xmlns="http://schemas.openxmlformats.org/spreadsheetml/2006/main" count="896" uniqueCount="98">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</sst>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theme="1" tint="0.249977111117893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3" fillId="3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6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2" fillId="18" borderId="1" xfId="0" applyFont="1" applyFill="1" applyBorder="1">
      <alignment vertical="center"/>
    </xf>
    <xf numFmtId="0" fontId="4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0" fillId="25" borderId="1" xfId="0" applyFill="1" applyBorder="1">
      <alignment vertical="center"/>
    </xf>
    <xf numFmtId="0" fontId="0" fillId="10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3" borderId="2" xfId="0" applyNumberFormat="1" applyFont="1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1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6" borderId="1" xfId="0" applyFill="1" applyBorder="1">
      <alignment vertical="center"/>
    </xf>
    <xf numFmtId="0" fontId="0" fillId="26" borderId="1" xfId="0" applyFill="1" applyBorder="1" applyAlignment="1">
      <alignment vertical="top"/>
    </xf>
    <xf numFmtId="14" fontId="0" fillId="6" borderId="1" xfId="0" applyNumberFormat="1" applyFill="1" applyBorder="1" applyAlignment="1">
      <alignment vertical="top"/>
    </xf>
    <xf numFmtId="0" fontId="0" fillId="6" borderId="1" xfId="0" applyNumberFormat="1" applyFill="1" applyBorder="1" applyAlignment="1">
      <alignment vertical="top"/>
    </xf>
    <xf numFmtId="0" fontId="0" fillId="7" borderId="1" xfId="0" applyFill="1" applyBorder="1" applyAlignment="1">
      <alignment horizontal="left" vertical="top" indent="1"/>
    </xf>
    <xf numFmtId="0" fontId="0" fillId="7" borderId="1" xfId="0" applyNumberFormat="1" applyFill="1" applyBorder="1" applyAlignment="1">
      <alignment vertical="top"/>
    </xf>
    <xf numFmtId="0" fontId="0" fillId="8" borderId="1" xfId="0" applyNumberFormat="1" applyFill="1" applyBorder="1" applyAlignment="1">
      <alignment vertical="top"/>
    </xf>
    <xf numFmtId="0" fontId="0" fillId="9" borderId="1" xfId="0" applyFill="1" applyBorder="1" applyAlignment="1">
      <alignment horizontal="left" vertical="top" indent="1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26" borderId="1" xfId="0" applyFill="1" applyBorder="1" applyAlignment="1">
      <alignment horizontal="left" vertical="top" indent="1"/>
    </xf>
    <xf numFmtId="0" fontId="0" fillId="26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NumberFormat="1" applyFill="1" applyBorder="1" applyAlignment="1">
      <alignment vertical="top"/>
    </xf>
    <xf numFmtId="0" fontId="0" fillId="25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26" borderId="1" xfId="0" applyNumberFormat="1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14" fontId="0" fillId="0" borderId="7" xfId="0" applyNumberFormat="1" applyBorder="1" applyAlignment="1">
      <alignment vertical="top"/>
    </xf>
    <xf numFmtId="14" fontId="3" fillId="3" borderId="2" xfId="0" applyNumberFormat="1" applyFont="1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3" fillId="27" borderId="3" xfId="0" applyNumberFormat="1" applyFont="1" applyFill="1" applyBorder="1" applyAlignment="1">
      <alignment vertical="top"/>
    </xf>
    <xf numFmtId="0" fontId="3" fillId="27" borderId="4" xfId="0" applyNumberFormat="1" applyFont="1" applyFill="1" applyBorder="1" applyAlignment="1">
      <alignment vertical="top"/>
    </xf>
    <xf numFmtId="14" fontId="3" fillId="27" borderId="4" xfId="0" applyNumberFormat="1" applyFont="1" applyFill="1" applyBorder="1" applyAlignment="1">
      <alignment vertical="top"/>
    </xf>
    <xf numFmtId="0" fontId="3" fillId="27" borderId="5" xfId="0" applyNumberFormat="1" applyFont="1" applyFill="1" applyBorder="1" applyAlignment="1">
      <alignment horizontal="center" vertical="top"/>
    </xf>
    <xf numFmtId="0" fontId="3" fillId="27" borderId="0" xfId="0" applyNumberFormat="1" applyFont="1" applyFill="1" applyBorder="1" applyAlignment="1">
      <alignment horizontal="center" vertical="top"/>
    </xf>
    <xf numFmtId="14" fontId="3" fillId="27" borderId="0" xfId="0" applyNumberFormat="1" applyFont="1" applyFill="1" applyBorder="1" applyAlignment="1">
      <alignment horizontal="center" vertical="top"/>
    </xf>
    <xf numFmtId="0" fontId="4" fillId="27" borderId="0" xfId="0" applyNumberFormat="1" applyFont="1" applyFill="1" applyBorder="1" applyAlignment="1">
      <alignment vertical="top"/>
    </xf>
    <xf numFmtId="0" fontId="3" fillId="27" borderId="6" xfId="0" applyNumberFormat="1" applyFont="1" applyFill="1" applyBorder="1" applyAlignment="1">
      <alignment vertical="top"/>
    </xf>
    <xf numFmtId="0" fontId="3" fillId="27" borderId="7" xfId="0" applyNumberFormat="1" applyFont="1" applyFill="1" applyBorder="1" applyAlignment="1">
      <alignment vertical="top"/>
    </xf>
    <xf numFmtId="14" fontId="3" fillId="27" borderId="7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BC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1" sqref="A11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9" style="37" bestFit="1" customWidth="1"/>
    <col min="8" max="8" width="11.25" style="2" customWidth="1"/>
    <col min="9" max="9" width="9" style="1" customWidth="1"/>
    <col min="10" max="375" width="3" style="6" customWidth="1"/>
    <col min="376" max="16384" width="9" style="6"/>
  </cols>
  <sheetData>
    <row r="1" spans="1:40" s="53" customFormat="1" x14ac:dyDescent="0.4">
      <c r="A1" s="54" t="s">
        <v>96</v>
      </c>
      <c r="B1" s="51"/>
      <c r="C1" s="51"/>
      <c r="D1" s="51"/>
      <c r="E1" s="94"/>
      <c r="F1" s="52"/>
      <c r="G1" s="52"/>
      <c r="H1" s="94"/>
      <c r="I1" s="51"/>
      <c r="J1" s="53" t="str">
        <f>member!$B$2</f>
        <v>member0</v>
      </c>
      <c r="N1" s="53" t="str">
        <f>member!$B$3</f>
        <v>member1</v>
      </c>
      <c r="R1" s="53" t="str">
        <f>member!$B$4</f>
        <v>member2</v>
      </c>
      <c r="V1" s="53" t="str">
        <f>member!$B$5</f>
        <v>member3</v>
      </c>
      <c r="Z1" s="53" t="str">
        <f>member!$B$6</f>
        <v>member4</v>
      </c>
    </row>
    <row r="2" spans="1:40" s="50" customFormat="1" x14ac:dyDescent="0.4">
      <c r="A2" s="48"/>
      <c r="B2" s="48"/>
      <c r="C2" s="48"/>
      <c r="D2" s="48"/>
      <c r="E2" s="95"/>
      <c r="F2" s="49"/>
      <c r="G2" s="49"/>
      <c r="H2" s="95"/>
      <c r="I2" s="48"/>
      <c r="J2" s="53" t="str">
        <f>member!$B$7</f>
        <v>member5</v>
      </c>
      <c r="K2" s="53"/>
      <c r="L2" s="53"/>
      <c r="M2" s="53"/>
      <c r="N2" s="53" t="str">
        <f>member!$B$8</f>
        <v>member6</v>
      </c>
      <c r="O2" s="53"/>
      <c r="P2" s="53"/>
      <c r="Q2" s="53"/>
      <c r="R2" s="53" t="str">
        <f>member!$B$9</f>
        <v>member7</v>
      </c>
      <c r="S2" s="53"/>
      <c r="T2" s="53"/>
      <c r="U2" s="53"/>
      <c r="V2" s="53" t="str">
        <f>member!$B$10</f>
        <v>member8</v>
      </c>
      <c r="W2" s="53"/>
      <c r="X2" s="53"/>
      <c r="Y2" s="53"/>
      <c r="Z2" s="53" t="str">
        <f>member!$B$11</f>
        <v>member9</v>
      </c>
    </row>
    <row r="3" spans="1:40" s="97" customFormat="1" ht="19.5" customHeight="1" x14ac:dyDescent="0.4">
      <c r="A3" s="98"/>
      <c r="B3" s="99"/>
      <c r="C3" s="99"/>
      <c r="D3" s="99"/>
      <c r="E3" s="100"/>
      <c r="F3" s="99"/>
      <c r="G3" s="99"/>
      <c r="H3" s="100"/>
      <c r="I3" s="99"/>
      <c r="J3" s="97">
        <v>7</v>
      </c>
    </row>
    <row r="4" spans="1:40" s="104" customFormat="1" x14ac:dyDescent="0.4">
      <c r="A4" s="101" t="s">
        <v>65</v>
      </c>
      <c r="B4" s="102" t="s">
        <v>56</v>
      </c>
      <c r="C4" s="102" t="s">
        <v>57</v>
      </c>
      <c r="D4" s="102" t="s">
        <v>58</v>
      </c>
      <c r="E4" s="103" t="s">
        <v>59</v>
      </c>
      <c r="F4" s="102" t="s">
        <v>60</v>
      </c>
      <c r="G4" s="102" t="s">
        <v>61</v>
      </c>
      <c r="H4" s="103" t="s">
        <v>62</v>
      </c>
      <c r="I4" s="102" t="s">
        <v>63</v>
      </c>
      <c r="J4" s="104">
        <v>1</v>
      </c>
      <c r="K4" s="104">
        <v>2</v>
      </c>
      <c r="L4" s="104">
        <v>3</v>
      </c>
      <c r="M4" s="104">
        <v>4</v>
      </c>
      <c r="N4" s="104">
        <v>5</v>
      </c>
      <c r="O4" s="104">
        <v>6</v>
      </c>
      <c r="P4" s="104">
        <v>7</v>
      </c>
      <c r="Q4" s="104">
        <v>8</v>
      </c>
      <c r="R4" s="104">
        <v>9</v>
      </c>
      <c r="S4" s="104">
        <v>10</v>
      </c>
      <c r="T4" s="104">
        <v>11</v>
      </c>
      <c r="U4" s="104">
        <v>12</v>
      </c>
      <c r="V4" s="104">
        <v>13</v>
      </c>
      <c r="W4" s="104">
        <v>14</v>
      </c>
      <c r="X4" s="104">
        <v>15</v>
      </c>
      <c r="Y4" s="104">
        <v>16</v>
      </c>
      <c r="Z4" s="104">
        <v>17</v>
      </c>
      <c r="AA4" s="104">
        <v>18</v>
      </c>
      <c r="AB4" s="104">
        <v>19</v>
      </c>
      <c r="AC4" s="104">
        <v>20</v>
      </c>
      <c r="AD4" s="104">
        <v>21</v>
      </c>
      <c r="AE4" s="104">
        <v>22</v>
      </c>
      <c r="AF4" s="104">
        <v>23</v>
      </c>
      <c r="AG4" s="104">
        <v>24</v>
      </c>
      <c r="AH4" s="104">
        <v>25</v>
      </c>
      <c r="AI4" s="104">
        <v>26</v>
      </c>
      <c r="AJ4" s="104">
        <v>27</v>
      </c>
      <c r="AK4" s="104">
        <v>28</v>
      </c>
      <c r="AL4" s="104">
        <v>29</v>
      </c>
      <c r="AM4" s="104">
        <v>30</v>
      </c>
      <c r="AN4" s="104">
        <v>31</v>
      </c>
    </row>
    <row r="5" spans="1:40" s="108" customFormat="1" x14ac:dyDescent="0.4">
      <c r="A5" s="105"/>
      <c r="B5" s="106"/>
      <c r="C5" s="106"/>
      <c r="D5" s="106"/>
      <c r="E5" s="107"/>
      <c r="F5" s="106"/>
      <c r="G5" s="106"/>
      <c r="H5" s="107"/>
      <c r="I5" s="106"/>
      <c r="J5" s="108" t="s">
        <v>34</v>
      </c>
      <c r="K5" s="108" t="s">
        <v>36</v>
      </c>
      <c r="L5" s="108" t="s">
        <v>38</v>
      </c>
      <c r="M5" s="108" t="s">
        <v>28</v>
      </c>
      <c r="N5" s="108" t="s">
        <v>26</v>
      </c>
      <c r="O5" s="108" t="s">
        <v>31</v>
      </c>
      <c r="P5" s="108" t="s">
        <v>47</v>
      </c>
      <c r="Q5" s="108" t="s">
        <v>34</v>
      </c>
      <c r="R5" s="108" t="s">
        <v>36</v>
      </c>
      <c r="S5" s="108" t="s">
        <v>38</v>
      </c>
      <c r="T5" s="108" t="s">
        <v>28</v>
      </c>
      <c r="U5" s="108" t="s">
        <v>26</v>
      </c>
      <c r="V5" s="108" t="s">
        <v>31</v>
      </c>
      <c r="W5" s="108" t="s">
        <v>47</v>
      </c>
      <c r="X5" s="108" t="s">
        <v>34</v>
      </c>
      <c r="Y5" s="108" t="s">
        <v>36</v>
      </c>
      <c r="Z5" s="108" t="s">
        <v>38</v>
      </c>
      <c r="AA5" s="108" t="s">
        <v>28</v>
      </c>
      <c r="AB5" s="108" t="s">
        <v>26</v>
      </c>
      <c r="AC5" s="108" t="s">
        <v>31</v>
      </c>
      <c r="AD5" s="108" t="s">
        <v>47</v>
      </c>
      <c r="AE5" s="108" t="s">
        <v>34</v>
      </c>
      <c r="AF5" s="108" t="s">
        <v>36</v>
      </c>
      <c r="AG5" s="108" t="s">
        <v>38</v>
      </c>
      <c r="AH5" s="108" t="s">
        <v>28</v>
      </c>
      <c r="AI5" s="108" t="s">
        <v>26</v>
      </c>
      <c r="AJ5" s="108" t="s">
        <v>31</v>
      </c>
      <c r="AK5" s="108" t="s">
        <v>47</v>
      </c>
      <c r="AL5" s="108" t="s">
        <v>34</v>
      </c>
      <c r="AM5" s="108" t="s">
        <v>36</v>
      </c>
      <c r="AN5" s="108" t="s">
        <v>38</v>
      </c>
    </row>
    <row r="6" spans="1:40" s="5" customFormat="1" x14ac:dyDescent="0.4">
      <c r="C6" s="5" t="s">
        <v>18</v>
      </c>
      <c r="E6" s="96"/>
      <c r="F6" s="38"/>
      <c r="G6" s="38"/>
      <c r="H6" s="96"/>
    </row>
    <row r="7" spans="1:40" x14ac:dyDescent="0.4">
      <c r="A7" s="6"/>
      <c r="B7" s="39">
        <v>1</v>
      </c>
      <c r="C7" s="39" t="s">
        <v>0</v>
      </c>
      <c r="D7" s="57" t="s">
        <v>1</v>
      </c>
      <c r="E7" s="57">
        <v>42552</v>
      </c>
      <c r="F7" s="58">
        <v>1</v>
      </c>
      <c r="G7" s="58">
        <v>1</v>
      </c>
      <c r="H7" s="57">
        <f>getEndDate()</f>
        <v>42552</v>
      </c>
      <c r="I7" s="75" t="s">
        <v>16</v>
      </c>
      <c r="J7" s="39"/>
      <c r="K7" s="7"/>
      <c r="L7" s="8"/>
      <c r="R7" s="7"/>
      <c r="S7" s="8"/>
      <c r="Y7" s="7"/>
      <c r="Z7" s="8"/>
      <c r="AA7" s="8"/>
      <c r="AF7" s="7"/>
      <c r="AG7" s="8"/>
      <c r="AM7" s="7"/>
      <c r="AN7" s="8"/>
    </row>
    <row r="8" spans="1:40" x14ac:dyDescent="0.4">
      <c r="A8" s="6"/>
      <c r="B8" s="40">
        <f>nextId(curtAddr())</f>
        <v>2</v>
      </c>
      <c r="C8" s="59" t="s">
        <v>73</v>
      </c>
      <c r="D8" s="40" t="s">
        <v>66</v>
      </c>
      <c r="E8" s="86">
        <f>getStartDate()</f>
        <v>42555</v>
      </c>
      <c r="F8" s="60">
        <v>1</v>
      </c>
      <c r="G8" s="60">
        <v>1</v>
      </c>
      <c r="H8" s="86">
        <f>getEndDate()</f>
        <v>42555</v>
      </c>
      <c r="I8" s="76" t="s">
        <v>21</v>
      </c>
      <c r="K8" s="7"/>
      <c r="L8" s="8"/>
      <c r="M8" s="40"/>
      <c r="R8" s="7"/>
      <c r="S8" s="8"/>
      <c r="Y8" s="7"/>
      <c r="Z8" s="8"/>
      <c r="AA8" s="8"/>
      <c r="AF8" s="7"/>
      <c r="AG8" s="8"/>
      <c r="AM8" s="7"/>
      <c r="AN8" s="8"/>
    </row>
    <row r="9" spans="1:40" x14ac:dyDescent="0.4">
      <c r="A9" s="6"/>
      <c r="B9" s="41">
        <f>nextId(curtAddr())</f>
        <v>3</v>
      </c>
      <c r="C9" s="41" t="s">
        <v>2</v>
      </c>
      <c r="D9" s="41" t="s">
        <v>3</v>
      </c>
      <c r="E9" s="87">
        <f>getStartDate()</f>
        <v>42556</v>
      </c>
      <c r="F9" s="61">
        <v>1</v>
      </c>
      <c r="G9" s="61">
        <v>1</v>
      </c>
      <c r="H9" s="87">
        <f t="shared" ref="H9:H38" si="0">getEndDate()</f>
        <v>42556</v>
      </c>
      <c r="I9" s="77" t="s">
        <v>22</v>
      </c>
      <c r="K9" s="7"/>
      <c r="L9" s="8"/>
      <c r="N9" s="41"/>
      <c r="R9" s="7"/>
      <c r="S9" s="8"/>
      <c r="Y9" s="7"/>
      <c r="Z9" s="8"/>
      <c r="AA9" s="8"/>
      <c r="AF9" s="7"/>
      <c r="AG9" s="8"/>
      <c r="AM9" s="7"/>
      <c r="AN9" s="8"/>
    </row>
    <row r="10" spans="1:40" x14ac:dyDescent="0.4">
      <c r="A10" s="6"/>
      <c r="B10" s="42">
        <f>nextId(curtAddr())</f>
        <v>4</v>
      </c>
      <c r="C10" s="62" t="s">
        <v>4</v>
      </c>
      <c r="D10" s="42" t="s">
        <v>5</v>
      </c>
      <c r="E10" s="88">
        <f t="shared" ref="E10:E38" si="1">getStartDate()</f>
        <v>42557</v>
      </c>
      <c r="F10" s="63">
        <v>1</v>
      </c>
      <c r="G10" s="63">
        <v>1</v>
      </c>
      <c r="H10" s="88">
        <f>getEndDate()</f>
        <v>42557</v>
      </c>
      <c r="I10" s="78" t="s">
        <v>94</v>
      </c>
      <c r="K10" s="7"/>
      <c r="L10" s="8"/>
      <c r="O10" s="42"/>
      <c r="R10" s="7"/>
      <c r="S10" s="8"/>
      <c r="Y10" s="7"/>
      <c r="Z10" s="8"/>
      <c r="AA10" s="8"/>
      <c r="AF10" s="7"/>
      <c r="AG10" s="8"/>
      <c r="AM10" s="7"/>
      <c r="AN10" s="8"/>
    </row>
    <row r="11" spans="1:40" x14ac:dyDescent="0.4">
      <c r="A11" s="6"/>
      <c r="B11" s="36">
        <f>nextId(curtAddr())</f>
        <v>5</v>
      </c>
      <c r="C11" s="64" t="s">
        <v>6</v>
      </c>
      <c r="D11" s="36" t="s">
        <v>7</v>
      </c>
      <c r="E11" s="89">
        <f t="shared" si="1"/>
        <v>42558</v>
      </c>
      <c r="F11" s="65">
        <v>1</v>
      </c>
      <c r="G11" s="65">
        <v>1</v>
      </c>
      <c r="H11" s="89">
        <f t="shared" si="0"/>
        <v>42558</v>
      </c>
      <c r="I11" s="79" t="s">
        <v>23</v>
      </c>
      <c r="K11" s="7"/>
      <c r="L11" s="8"/>
      <c r="P11" s="36"/>
      <c r="R11" s="7"/>
      <c r="S11" s="8"/>
      <c r="Y11" s="7"/>
      <c r="Z11" s="8"/>
      <c r="AA11" s="8"/>
      <c r="AF11" s="7"/>
      <c r="AG11" s="8"/>
      <c r="AM11" s="7"/>
      <c r="AN11" s="8"/>
    </row>
    <row r="12" spans="1:40" x14ac:dyDescent="0.4">
      <c r="A12" s="6"/>
      <c r="B12" s="43">
        <f>nextId(curtAddr())</f>
        <v>6</v>
      </c>
      <c r="C12" s="66" t="s">
        <v>8</v>
      </c>
      <c r="D12" s="43" t="s">
        <v>9</v>
      </c>
      <c r="E12" s="85">
        <f t="shared" si="1"/>
        <v>42559</v>
      </c>
      <c r="F12" s="67">
        <v>1</v>
      </c>
      <c r="G12" s="67">
        <v>1</v>
      </c>
      <c r="H12" s="85">
        <f t="shared" si="0"/>
        <v>42559</v>
      </c>
      <c r="I12" s="80" t="s">
        <v>69</v>
      </c>
      <c r="K12" s="7"/>
      <c r="L12" s="8"/>
      <c r="Q12" s="43"/>
      <c r="R12" s="7"/>
      <c r="S12" s="8"/>
      <c r="Y12" s="7"/>
      <c r="Z12" s="8"/>
      <c r="AA12" s="8"/>
      <c r="AF12" s="7"/>
      <c r="AG12" s="8"/>
      <c r="AM12" s="7"/>
      <c r="AN12" s="8"/>
    </row>
    <row r="13" spans="1:40" x14ac:dyDescent="0.4">
      <c r="A13" s="6"/>
      <c r="B13" s="56">
        <f>nextId(curtAddr())</f>
        <v>7</v>
      </c>
      <c r="C13" s="68" t="s">
        <v>6</v>
      </c>
      <c r="D13" s="56" t="s">
        <v>10</v>
      </c>
      <c r="E13" s="90">
        <f t="shared" si="1"/>
        <v>42562</v>
      </c>
      <c r="F13" s="69">
        <v>1</v>
      </c>
      <c r="G13" s="69">
        <v>1</v>
      </c>
      <c r="H13" s="90">
        <f t="shared" si="0"/>
        <v>42562</v>
      </c>
      <c r="I13" s="81" t="s">
        <v>72</v>
      </c>
      <c r="K13" s="7"/>
      <c r="L13" s="8"/>
      <c r="R13" s="7"/>
      <c r="S13" s="8"/>
      <c r="T13" s="56"/>
      <c r="Y13" s="7"/>
      <c r="Z13" s="8"/>
      <c r="AA13" s="8"/>
      <c r="AF13" s="7"/>
      <c r="AG13" s="8"/>
      <c r="AM13" s="7"/>
      <c r="AN13" s="8"/>
    </row>
    <row r="14" spans="1:40" x14ac:dyDescent="0.4">
      <c r="A14" s="6"/>
      <c r="B14" s="44">
        <f>nextId(curtAddr())</f>
        <v>8</v>
      </c>
      <c r="C14" s="70" t="s">
        <v>8</v>
      </c>
      <c r="D14" s="44" t="s">
        <v>11</v>
      </c>
      <c r="E14" s="91">
        <f t="shared" si="1"/>
        <v>42563</v>
      </c>
      <c r="F14" s="71">
        <v>1</v>
      </c>
      <c r="G14" s="71">
        <v>1</v>
      </c>
      <c r="H14" s="91">
        <f t="shared" si="0"/>
        <v>42563</v>
      </c>
      <c r="I14" s="82" t="s">
        <v>17</v>
      </c>
      <c r="K14" s="7"/>
      <c r="L14" s="8"/>
      <c r="R14" s="7"/>
      <c r="S14" s="8"/>
      <c r="U14" s="44"/>
      <c r="Y14" s="7"/>
      <c r="Z14" s="8"/>
      <c r="AA14" s="8"/>
      <c r="AF14" s="7"/>
      <c r="AG14" s="8"/>
      <c r="AM14" s="7"/>
      <c r="AN14" s="8"/>
    </row>
    <row r="15" spans="1:40" x14ac:dyDescent="0.4">
      <c r="A15" s="6"/>
      <c r="B15" s="45">
        <f>nextId(curtAddr())</f>
        <v>9</v>
      </c>
      <c r="C15" s="72" t="s">
        <v>12</v>
      </c>
      <c r="D15" s="45" t="s">
        <v>13</v>
      </c>
      <c r="E15" s="92">
        <f t="shared" si="1"/>
        <v>42564</v>
      </c>
      <c r="F15" s="73">
        <v>1</v>
      </c>
      <c r="G15" s="73">
        <v>1</v>
      </c>
      <c r="H15" s="92">
        <f t="shared" si="0"/>
        <v>42564</v>
      </c>
      <c r="I15" s="83" t="s">
        <v>70</v>
      </c>
      <c r="K15" s="7"/>
      <c r="L15" s="8"/>
      <c r="R15" s="7"/>
      <c r="S15" s="8"/>
      <c r="V15" s="45"/>
      <c r="Y15" s="7"/>
      <c r="Z15" s="8"/>
      <c r="AA15" s="8"/>
      <c r="AF15" s="7"/>
      <c r="AG15" s="8"/>
      <c r="AM15" s="7"/>
      <c r="AN15" s="8"/>
    </row>
    <row r="16" spans="1:40" x14ac:dyDescent="0.4">
      <c r="A16" s="6"/>
      <c r="B16" s="46">
        <f>nextId(curtAddr())</f>
        <v>10</v>
      </c>
      <c r="C16" s="46" t="s">
        <v>14</v>
      </c>
      <c r="D16" s="46" t="s">
        <v>15</v>
      </c>
      <c r="E16" s="93">
        <f t="shared" si="1"/>
        <v>42565</v>
      </c>
      <c r="F16" s="74">
        <v>1</v>
      </c>
      <c r="G16" s="74">
        <v>1</v>
      </c>
      <c r="H16" s="93">
        <f t="shared" si="0"/>
        <v>42565</v>
      </c>
      <c r="I16" s="84" t="s">
        <v>67</v>
      </c>
      <c r="K16" s="7"/>
      <c r="L16" s="8"/>
      <c r="R16" s="7"/>
      <c r="S16" s="8"/>
      <c r="W16" s="46"/>
      <c r="Y16" s="7"/>
      <c r="Z16" s="8"/>
      <c r="AA16" s="8"/>
      <c r="AF16" s="7"/>
      <c r="AG16" s="8"/>
      <c r="AM16" s="7"/>
      <c r="AN16" s="8"/>
    </row>
    <row r="17" spans="1:44" s="5" customFormat="1" x14ac:dyDescent="0.4">
      <c r="C17" s="5" t="s">
        <v>18</v>
      </c>
      <c r="E17" s="96"/>
      <c r="F17" s="38"/>
      <c r="G17" s="38"/>
      <c r="H17" s="96"/>
    </row>
    <row r="18" spans="1:44" x14ac:dyDescent="0.4">
      <c r="A18" s="6"/>
      <c r="B18" s="39">
        <f>nextId(curtAddr())</f>
        <v>11</v>
      </c>
      <c r="C18" s="39" t="s">
        <v>0</v>
      </c>
      <c r="D18" s="39" t="s">
        <v>1</v>
      </c>
      <c r="E18" s="57">
        <f t="shared" si="1"/>
        <v>42566</v>
      </c>
      <c r="F18" s="58">
        <v>1</v>
      </c>
      <c r="G18" s="58">
        <v>1</v>
      </c>
      <c r="H18" s="57">
        <f t="shared" si="0"/>
        <v>42566</v>
      </c>
      <c r="I18" s="75" t="s">
        <v>16</v>
      </c>
      <c r="K18" s="7"/>
      <c r="L18" s="8"/>
      <c r="R18" s="7"/>
      <c r="S18" s="8"/>
      <c r="X18" s="39"/>
      <c r="Y18" s="7"/>
      <c r="Z18" s="8"/>
      <c r="AA18" s="8"/>
      <c r="AF18" s="7"/>
      <c r="AG18" s="8"/>
      <c r="AM18" s="7"/>
      <c r="AN18" s="8"/>
    </row>
    <row r="19" spans="1:44" x14ac:dyDescent="0.4">
      <c r="A19" s="6"/>
      <c r="B19" s="40">
        <f>nextId(curtAddr())</f>
        <v>12</v>
      </c>
      <c r="C19" s="59" t="s">
        <v>73</v>
      </c>
      <c r="D19" s="40" t="s">
        <v>66</v>
      </c>
      <c r="E19" s="86">
        <f t="shared" si="1"/>
        <v>42570</v>
      </c>
      <c r="F19" s="60">
        <v>1</v>
      </c>
      <c r="G19" s="60">
        <v>1</v>
      </c>
      <c r="H19" s="86">
        <f t="shared" si="0"/>
        <v>42570</v>
      </c>
      <c r="I19" s="76" t="s">
        <v>21</v>
      </c>
      <c r="K19" s="7"/>
      <c r="L19" s="8"/>
      <c r="R19" s="7"/>
      <c r="S19" s="8"/>
      <c r="Y19" s="7"/>
      <c r="Z19" s="8"/>
      <c r="AA19" s="8"/>
      <c r="AB19" s="40"/>
      <c r="AF19" s="7"/>
      <c r="AG19" s="8"/>
      <c r="AM19" s="7"/>
      <c r="AN19" s="8"/>
    </row>
    <row r="20" spans="1:44" x14ac:dyDescent="0.4">
      <c r="A20" s="6"/>
      <c r="B20" s="41">
        <f>nextId(curtAddr())</f>
        <v>13</v>
      </c>
      <c r="C20" s="41" t="s">
        <v>2</v>
      </c>
      <c r="D20" s="41" t="s">
        <v>3</v>
      </c>
      <c r="E20" s="87">
        <f t="shared" si="1"/>
        <v>42571</v>
      </c>
      <c r="F20" s="61">
        <v>1</v>
      </c>
      <c r="G20" s="61">
        <v>1</v>
      </c>
      <c r="H20" s="87">
        <f t="shared" si="0"/>
        <v>42571</v>
      </c>
      <c r="I20" s="77" t="s">
        <v>22</v>
      </c>
      <c r="K20" s="7"/>
      <c r="L20" s="8"/>
      <c r="R20" s="7"/>
      <c r="S20" s="8"/>
      <c r="Y20" s="7"/>
      <c r="Z20" s="8"/>
      <c r="AA20" s="8"/>
      <c r="AC20" s="41"/>
      <c r="AF20" s="7"/>
      <c r="AG20" s="8"/>
      <c r="AM20" s="7"/>
      <c r="AN20" s="8"/>
    </row>
    <row r="21" spans="1:44" x14ac:dyDescent="0.4">
      <c r="A21" s="6"/>
      <c r="B21" s="42">
        <f>nextId(curtAddr())</f>
        <v>14</v>
      </c>
      <c r="C21" s="62" t="s">
        <v>4</v>
      </c>
      <c r="D21" s="42" t="s">
        <v>5</v>
      </c>
      <c r="E21" s="88">
        <f t="shared" si="1"/>
        <v>42572</v>
      </c>
      <c r="F21" s="63">
        <v>1</v>
      </c>
      <c r="G21" s="63">
        <v>1</v>
      </c>
      <c r="H21" s="88">
        <f t="shared" si="0"/>
        <v>42572</v>
      </c>
      <c r="I21" s="78" t="s">
        <v>94</v>
      </c>
      <c r="K21" s="7"/>
      <c r="L21" s="8"/>
      <c r="R21" s="7"/>
      <c r="S21" s="8"/>
      <c r="Y21" s="7"/>
      <c r="Z21" s="8"/>
      <c r="AA21" s="8"/>
      <c r="AD21" s="42"/>
      <c r="AF21" s="7"/>
      <c r="AG21" s="8"/>
      <c r="AM21" s="7"/>
      <c r="AN21" s="8"/>
    </row>
    <row r="22" spans="1:44" x14ac:dyDescent="0.4">
      <c r="A22" s="6"/>
      <c r="B22" s="36">
        <f>nextId(curtAddr())</f>
        <v>15</v>
      </c>
      <c r="C22" s="64" t="s">
        <v>6</v>
      </c>
      <c r="D22" s="36" t="s">
        <v>7</v>
      </c>
      <c r="E22" s="89">
        <f t="shared" si="1"/>
        <v>42573</v>
      </c>
      <c r="F22" s="65">
        <v>1</v>
      </c>
      <c r="G22" s="65">
        <v>1</v>
      </c>
      <c r="H22" s="89">
        <f t="shared" si="0"/>
        <v>42573</v>
      </c>
      <c r="I22" s="79" t="s">
        <v>23</v>
      </c>
      <c r="K22" s="7"/>
      <c r="L22" s="8"/>
      <c r="R22" s="7"/>
      <c r="S22" s="8"/>
      <c r="Y22" s="7"/>
      <c r="Z22" s="8"/>
      <c r="AA22" s="8"/>
      <c r="AE22" s="36"/>
      <c r="AF22" s="7"/>
      <c r="AG22" s="8"/>
      <c r="AM22" s="7"/>
      <c r="AN22" s="8"/>
    </row>
    <row r="23" spans="1:44" x14ac:dyDescent="0.4">
      <c r="A23" s="6"/>
      <c r="B23" s="43">
        <f>nextId(curtAddr())</f>
        <v>16</v>
      </c>
      <c r="C23" s="66" t="s">
        <v>8</v>
      </c>
      <c r="D23" s="43" t="s">
        <v>9</v>
      </c>
      <c r="E23" s="85">
        <f t="shared" si="1"/>
        <v>42576</v>
      </c>
      <c r="F23" s="67">
        <v>1</v>
      </c>
      <c r="G23" s="67">
        <v>1</v>
      </c>
      <c r="H23" s="85">
        <f>getEndDate()</f>
        <v>42576</v>
      </c>
      <c r="I23" s="80" t="s">
        <v>69</v>
      </c>
      <c r="K23" s="7"/>
      <c r="L23" s="8"/>
      <c r="R23" s="7"/>
      <c r="S23" s="8"/>
      <c r="Y23" s="7"/>
      <c r="Z23" s="8"/>
      <c r="AA23" s="8"/>
      <c r="AF23" s="7"/>
      <c r="AG23" s="8"/>
      <c r="AH23" s="43"/>
      <c r="AM23" s="7"/>
      <c r="AN23" s="8"/>
    </row>
    <row r="24" spans="1:44" x14ac:dyDescent="0.4">
      <c r="A24" s="6"/>
      <c r="B24" s="56">
        <f>nextId(curtAddr())</f>
        <v>17</v>
      </c>
      <c r="C24" s="68" t="s">
        <v>6</v>
      </c>
      <c r="D24" s="56" t="s">
        <v>10</v>
      </c>
      <c r="E24" s="90">
        <f>getStartDate()</f>
        <v>42577</v>
      </c>
      <c r="F24" s="69">
        <v>1</v>
      </c>
      <c r="G24" s="69">
        <v>1</v>
      </c>
      <c r="H24" s="90">
        <f t="shared" si="0"/>
        <v>42577</v>
      </c>
      <c r="I24" s="81" t="s">
        <v>72</v>
      </c>
      <c r="K24" s="7"/>
      <c r="L24" s="8"/>
      <c r="R24" s="7"/>
      <c r="S24" s="8"/>
      <c r="Y24" s="7"/>
      <c r="Z24" s="8"/>
      <c r="AA24" s="8"/>
      <c r="AF24" s="7"/>
      <c r="AG24" s="8"/>
      <c r="AI24" s="56"/>
      <c r="AM24" s="7"/>
      <c r="AN24" s="8"/>
    </row>
    <row r="25" spans="1:44" x14ac:dyDescent="0.4">
      <c r="A25" s="6"/>
      <c r="B25" s="44">
        <f>nextId(curtAddr())</f>
        <v>18</v>
      </c>
      <c r="C25" s="70" t="s">
        <v>8</v>
      </c>
      <c r="D25" s="44" t="s">
        <v>11</v>
      </c>
      <c r="E25" s="91">
        <f t="shared" si="1"/>
        <v>42578</v>
      </c>
      <c r="F25" s="71">
        <v>1</v>
      </c>
      <c r="G25" s="71">
        <v>1</v>
      </c>
      <c r="H25" s="91">
        <f t="shared" si="0"/>
        <v>42578</v>
      </c>
      <c r="I25" s="82" t="s">
        <v>17</v>
      </c>
      <c r="K25" s="7"/>
      <c r="L25" s="8"/>
      <c r="R25" s="7"/>
      <c r="S25" s="8"/>
      <c r="Y25" s="7"/>
      <c r="Z25" s="8"/>
      <c r="AA25" s="8"/>
      <c r="AF25" s="7"/>
      <c r="AG25" s="8"/>
      <c r="AJ25" s="44"/>
      <c r="AM25" s="7"/>
      <c r="AN25" s="8"/>
    </row>
    <row r="26" spans="1:44" x14ac:dyDescent="0.4">
      <c r="A26" s="6"/>
      <c r="B26" s="45">
        <f>nextId(curtAddr())</f>
        <v>19</v>
      </c>
      <c r="C26" s="72" t="s">
        <v>12</v>
      </c>
      <c r="D26" s="45" t="s">
        <v>13</v>
      </c>
      <c r="E26" s="92">
        <f t="shared" si="1"/>
        <v>42579</v>
      </c>
      <c r="F26" s="73">
        <v>1</v>
      </c>
      <c r="G26" s="73">
        <v>1</v>
      </c>
      <c r="H26" s="92">
        <f t="shared" si="0"/>
        <v>42579</v>
      </c>
      <c r="I26" s="83" t="s">
        <v>70</v>
      </c>
      <c r="K26" s="7"/>
      <c r="L26" s="8"/>
      <c r="R26" s="7"/>
      <c r="S26" s="8"/>
      <c r="Y26" s="7"/>
      <c r="Z26" s="8"/>
      <c r="AA26" s="8"/>
      <c r="AF26" s="7"/>
      <c r="AG26" s="8"/>
      <c r="AK26" s="45"/>
      <c r="AM26" s="7"/>
      <c r="AN26" s="8"/>
    </row>
    <row r="27" spans="1:44" x14ac:dyDescent="0.4">
      <c r="A27" s="6"/>
      <c r="B27" s="46">
        <f>nextId(curtAddr())</f>
        <v>20</v>
      </c>
      <c r="C27" s="46" t="s">
        <v>14</v>
      </c>
      <c r="D27" s="46" t="s">
        <v>15</v>
      </c>
      <c r="E27" s="93">
        <f t="shared" si="1"/>
        <v>42580</v>
      </c>
      <c r="F27" s="74">
        <v>1</v>
      </c>
      <c r="G27" s="74">
        <v>1</v>
      </c>
      <c r="H27" s="93">
        <f t="shared" si="0"/>
        <v>42580</v>
      </c>
      <c r="I27" s="84" t="s">
        <v>67</v>
      </c>
      <c r="K27" s="7"/>
      <c r="L27" s="8"/>
      <c r="R27" s="7"/>
      <c r="S27" s="8"/>
      <c r="Y27" s="7"/>
      <c r="Z27" s="8"/>
      <c r="AA27" s="8"/>
      <c r="AF27" s="7"/>
      <c r="AG27" s="8"/>
      <c r="AL27" s="46"/>
      <c r="AM27" s="7"/>
      <c r="AN27" s="8"/>
    </row>
    <row r="28" spans="1:44" s="47" customFormat="1" x14ac:dyDescent="0.4">
      <c r="A28" s="5"/>
      <c r="B28" s="5"/>
      <c r="C28" s="5" t="s">
        <v>18</v>
      </c>
      <c r="D28" s="5"/>
      <c r="E28" s="96"/>
      <c r="F28" s="38"/>
      <c r="G28" s="38"/>
      <c r="H28" s="96"/>
      <c r="I28" s="5"/>
    </row>
    <row r="29" spans="1:44" x14ac:dyDescent="0.4">
      <c r="A29" s="6"/>
      <c r="B29" s="39">
        <f>nextId(curtAddr())</f>
        <v>21</v>
      </c>
      <c r="C29" s="39" t="s">
        <v>0</v>
      </c>
      <c r="D29" s="39" t="s">
        <v>1</v>
      </c>
      <c r="E29" s="57">
        <f t="shared" si="1"/>
        <v>42583</v>
      </c>
      <c r="F29" s="58">
        <v>1</v>
      </c>
      <c r="G29" s="58">
        <v>1</v>
      </c>
      <c r="H29" s="57">
        <f t="shared" si="0"/>
        <v>42583</v>
      </c>
      <c r="I29" s="75" t="s">
        <v>16</v>
      </c>
      <c r="K29" s="7"/>
      <c r="L29" s="8"/>
      <c r="R29" s="7"/>
      <c r="S29" s="8"/>
      <c r="Y29" s="7"/>
      <c r="Z29" s="8"/>
      <c r="AA29" s="8"/>
      <c r="AF29" s="7"/>
      <c r="AG29" s="8"/>
      <c r="AM29" s="7"/>
      <c r="AN29" s="8"/>
      <c r="AO29" s="39"/>
    </row>
    <row r="30" spans="1:44" x14ac:dyDescent="0.4">
      <c r="A30" s="6"/>
      <c r="B30" s="40">
        <f>nextId(curtAddr())</f>
        <v>22</v>
      </c>
      <c r="C30" s="59" t="s">
        <v>73</v>
      </c>
      <c r="D30" s="40" t="s">
        <v>66</v>
      </c>
      <c r="E30" s="86">
        <f t="shared" si="1"/>
        <v>42584</v>
      </c>
      <c r="F30" s="60">
        <v>1</v>
      </c>
      <c r="G30" s="60">
        <v>1</v>
      </c>
      <c r="H30" s="86">
        <f t="shared" si="0"/>
        <v>42584</v>
      </c>
      <c r="I30" s="76" t="s">
        <v>21</v>
      </c>
      <c r="K30" s="7"/>
      <c r="L30" s="8"/>
      <c r="R30" s="7"/>
      <c r="S30" s="8"/>
      <c r="Y30" s="7"/>
      <c r="Z30" s="8"/>
      <c r="AA30" s="8"/>
      <c r="AF30" s="7"/>
      <c r="AG30" s="8"/>
      <c r="AM30" s="7"/>
      <c r="AN30" s="8"/>
      <c r="AP30" s="40"/>
    </row>
    <row r="31" spans="1:44" x14ac:dyDescent="0.4">
      <c r="A31" s="6"/>
      <c r="B31" s="41">
        <f>nextId(curtAddr())</f>
        <v>23</v>
      </c>
      <c r="C31" s="41" t="s">
        <v>2</v>
      </c>
      <c r="D31" s="41" t="s">
        <v>3</v>
      </c>
      <c r="E31" s="87">
        <f t="shared" si="1"/>
        <v>42585</v>
      </c>
      <c r="F31" s="61">
        <v>1</v>
      </c>
      <c r="G31" s="61">
        <v>1</v>
      </c>
      <c r="H31" s="87">
        <f t="shared" si="0"/>
        <v>42585</v>
      </c>
      <c r="I31" s="77" t="s">
        <v>22</v>
      </c>
      <c r="K31" s="7"/>
      <c r="L31" s="8"/>
      <c r="R31" s="7"/>
      <c r="S31" s="8"/>
      <c r="Y31" s="7"/>
      <c r="Z31" s="8"/>
      <c r="AA31" s="8"/>
      <c r="AF31" s="7"/>
      <c r="AG31" s="8"/>
      <c r="AM31" s="7"/>
      <c r="AN31" s="8"/>
      <c r="AQ31" s="41"/>
    </row>
    <row r="32" spans="1:44" x14ac:dyDescent="0.4">
      <c r="A32" s="6"/>
      <c r="B32" s="42">
        <f>nextId(curtAddr())</f>
        <v>24</v>
      </c>
      <c r="C32" s="62" t="s">
        <v>4</v>
      </c>
      <c r="D32" s="42" t="s">
        <v>5</v>
      </c>
      <c r="E32" s="88">
        <f t="shared" si="1"/>
        <v>42586</v>
      </c>
      <c r="F32" s="63">
        <v>1</v>
      </c>
      <c r="G32" s="63">
        <v>1</v>
      </c>
      <c r="H32" s="88">
        <f t="shared" si="0"/>
        <v>42586</v>
      </c>
      <c r="I32" s="78" t="s">
        <v>94</v>
      </c>
      <c r="K32" s="7"/>
      <c r="L32" s="8"/>
      <c r="R32" s="7"/>
      <c r="S32" s="8"/>
      <c r="Y32" s="7"/>
      <c r="Z32" s="8"/>
      <c r="AA32" s="8"/>
      <c r="AF32" s="7"/>
      <c r="AG32" s="8"/>
      <c r="AM32" s="7"/>
      <c r="AN32" s="8"/>
      <c r="AR32" s="42"/>
    </row>
    <row r="33" spans="1:55" x14ac:dyDescent="0.4">
      <c r="A33" s="6"/>
      <c r="B33" s="36">
        <f>nextId(curtAddr())</f>
        <v>25</v>
      </c>
      <c r="C33" s="64" t="s">
        <v>6</v>
      </c>
      <c r="D33" s="36" t="s">
        <v>7</v>
      </c>
      <c r="E33" s="89">
        <f t="shared" si="1"/>
        <v>42587</v>
      </c>
      <c r="F33" s="65">
        <v>1</v>
      </c>
      <c r="G33" s="65">
        <v>1</v>
      </c>
      <c r="H33" s="89">
        <f t="shared" si="0"/>
        <v>42587</v>
      </c>
      <c r="I33" s="79" t="s">
        <v>23</v>
      </c>
      <c r="K33" s="7"/>
      <c r="L33" s="8"/>
      <c r="R33" s="7"/>
      <c r="S33" s="8"/>
      <c r="Y33" s="7"/>
      <c r="Z33" s="8"/>
      <c r="AA33" s="8"/>
      <c r="AF33" s="7"/>
      <c r="AG33" s="8"/>
      <c r="AM33" s="7"/>
      <c r="AN33" s="8"/>
      <c r="AS33" s="36"/>
    </row>
    <row r="34" spans="1:55" x14ac:dyDescent="0.4">
      <c r="A34" s="6"/>
      <c r="B34" s="43">
        <f>nextId(curtAddr())</f>
        <v>26</v>
      </c>
      <c r="C34" s="66" t="s">
        <v>8</v>
      </c>
      <c r="D34" s="43" t="s">
        <v>9</v>
      </c>
      <c r="E34" s="85">
        <f t="shared" si="1"/>
        <v>42590</v>
      </c>
      <c r="F34" s="67">
        <v>1</v>
      </c>
      <c r="G34" s="67">
        <v>1</v>
      </c>
      <c r="H34" s="85">
        <f t="shared" si="0"/>
        <v>42590</v>
      </c>
      <c r="I34" s="80" t="s">
        <v>69</v>
      </c>
      <c r="K34" s="7"/>
      <c r="L34" s="8"/>
      <c r="R34" s="7"/>
      <c r="S34" s="8"/>
      <c r="Y34" s="7"/>
      <c r="Z34" s="8"/>
      <c r="AA34" s="8"/>
      <c r="AF34" s="7"/>
      <c r="AG34" s="8"/>
      <c r="AM34" s="7"/>
      <c r="AN34" s="8"/>
      <c r="AV34" s="43"/>
    </row>
    <row r="35" spans="1:55" x14ac:dyDescent="0.4">
      <c r="A35" s="6"/>
      <c r="B35" s="56">
        <f>nextId(curtAddr())</f>
        <v>27</v>
      </c>
      <c r="C35" s="68" t="s">
        <v>6</v>
      </c>
      <c r="D35" s="56" t="s">
        <v>10</v>
      </c>
      <c r="E35" s="90">
        <f t="shared" si="1"/>
        <v>42591</v>
      </c>
      <c r="F35" s="69">
        <v>1</v>
      </c>
      <c r="G35" s="69">
        <v>1</v>
      </c>
      <c r="H35" s="90">
        <f t="shared" si="0"/>
        <v>42591</v>
      </c>
      <c r="I35" s="81" t="s">
        <v>72</v>
      </c>
      <c r="K35" s="7"/>
      <c r="L35" s="8"/>
      <c r="R35" s="7"/>
      <c r="S35" s="8"/>
      <c r="Y35" s="7"/>
      <c r="Z35" s="8"/>
      <c r="AA35" s="8"/>
      <c r="AF35" s="7"/>
      <c r="AG35" s="8"/>
      <c r="AM35" s="7"/>
      <c r="AN35" s="8"/>
      <c r="AW35" s="56"/>
    </row>
    <row r="36" spans="1:55" x14ac:dyDescent="0.4">
      <c r="A36" s="6"/>
      <c r="B36" s="44">
        <f>nextId(curtAddr())</f>
        <v>28</v>
      </c>
      <c r="C36" s="70" t="s">
        <v>8</v>
      </c>
      <c r="D36" s="44" t="s">
        <v>11</v>
      </c>
      <c r="E36" s="91">
        <f t="shared" si="1"/>
        <v>42592</v>
      </c>
      <c r="F36" s="71">
        <v>1</v>
      </c>
      <c r="G36" s="71">
        <v>1</v>
      </c>
      <c r="H36" s="91">
        <f t="shared" si="0"/>
        <v>42592</v>
      </c>
      <c r="I36" s="82" t="s">
        <v>17</v>
      </c>
      <c r="K36" s="7"/>
      <c r="L36" s="8"/>
      <c r="R36" s="7"/>
      <c r="S36" s="8"/>
      <c r="Y36" s="7"/>
      <c r="Z36" s="8"/>
      <c r="AA36" s="8"/>
      <c r="AF36" s="7"/>
      <c r="AG36" s="8"/>
      <c r="AM36" s="7"/>
      <c r="AN36" s="8"/>
      <c r="AX36" s="44"/>
    </row>
    <row r="37" spans="1:55" x14ac:dyDescent="0.4">
      <c r="A37" s="6"/>
      <c r="B37" s="45">
        <f>nextId(curtAddr())</f>
        <v>29</v>
      </c>
      <c r="C37" s="72" t="s">
        <v>12</v>
      </c>
      <c r="D37" s="45" t="s">
        <v>13</v>
      </c>
      <c r="E37" s="92">
        <f t="shared" si="1"/>
        <v>42594</v>
      </c>
      <c r="F37" s="73">
        <v>1</v>
      </c>
      <c r="G37" s="73">
        <v>1</v>
      </c>
      <c r="H37" s="92">
        <f t="shared" si="0"/>
        <v>42594</v>
      </c>
      <c r="I37" s="83" t="s">
        <v>70</v>
      </c>
      <c r="K37" s="7"/>
      <c r="L37" s="8"/>
      <c r="R37" s="7"/>
      <c r="S37" s="8"/>
      <c r="Y37" s="7"/>
      <c r="Z37" s="8"/>
      <c r="AA37" s="8"/>
      <c r="AF37" s="7"/>
      <c r="AG37" s="8"/>
      <c r="AM37" s="7"/>
      <c r="AN37" s="8"/>
      <c r="AZ37" s="45"/>
    </row>
    <row r="38" spans="1:55" x14ac:dyDescent="0.4">
      <c r="A38" s="6"/>
      <c r="B38" s="46">
        <f>nextId(curtAddr())</f>
        <v>30</v>
      </c>
      <c r="C38" s="46" t="s">
        <v>14</v>
      </c>
      <c r="D38" s="46" t="s">
        <v>15</v>
      </c>
      <c r="E38" s="93">
        <f t="shared" si="1"/>
        <v>42597</v>
      </c>
      <c r="F38" s="74">
        <v>1</v>
      </c>
      <c r="G38" s="74">
        <v>1</v>
      </c>
      <c r="H38" s="93">
        <f t="shared" si="0"/>
        <v>42597</v>
      </c>
      <c r="I38" s="84" t="s">
        <v>67</v>
      </c>
      <c r="K38" s="7"/>
      <c r="L38" s="8"/>
      <c r="R38" s="7"/>
      <c r="S38" s="8"/>
      <c r="Y38" s="7"/>
      <c r="Z38" s="8"/>
      <c r="AA38" s="8"/>
      <c r="AF38" s="7"/>
      <c r="AG38" s="8"/>
      <c r="AM38" s="7"/>
      <c r="AN38" s="8"/>
      <c r="BC38" s="46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disablePrompts="1"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9" t="s">
        <v>51</v>
      </c>
      <c r="B1" s="9" t="s">
        <v>54</v>
      </c>
      <c r="C1" s="9" t="s">
        <v>55</v>
      </c>
      <c r="D1" s="9" t="s">
        <v>53</v>
      </c>
    </row>
    <row r="2" spans="1:4" x14ac:dyDescent="0.4">
      <c r="A2" s="4">
        <v>1</v>
      </c>
      <c r="B2" s="10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0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0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0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0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0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0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0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0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0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0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0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0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0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0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0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0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0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0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0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0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0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0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0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0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0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0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0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0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0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0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0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0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0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0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0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0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0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0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0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0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0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0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0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0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0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0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0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0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0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0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0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0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0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0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0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0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0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0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0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0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0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0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0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0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0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0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0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0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0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0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0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0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0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0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0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0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0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0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0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0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0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0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0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0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0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0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0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0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0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0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0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0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0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0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0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0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0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0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0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0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0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0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0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0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0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0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0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0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0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0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0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0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0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0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0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0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0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0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0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0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0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0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0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0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0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0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0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0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0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0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0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0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0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0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0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0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0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0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0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0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0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0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0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0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0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0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0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0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0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0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0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0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0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0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0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0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0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0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0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0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0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0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0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0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0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0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0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0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0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0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0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0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0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0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0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0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0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0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0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0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0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0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0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0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0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0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0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0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0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0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0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0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0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0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0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0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0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0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0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0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0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0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0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0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0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0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0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0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0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0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0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0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0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0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0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0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0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0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0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0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0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0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0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0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0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0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0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0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0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0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0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0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0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0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0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0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0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0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0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0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0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0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0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0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0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0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0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0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0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0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0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0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0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0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0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0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0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0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0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0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0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0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0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0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0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0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0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0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0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0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0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0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0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0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0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0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0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0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0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0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0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0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0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0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0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0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0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0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0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0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0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0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0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0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0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0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0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0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0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0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0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0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0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0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0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0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0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0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0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0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0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0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0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0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0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0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0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0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0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0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0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0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0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0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0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0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0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0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0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0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0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0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0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0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0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0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0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0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0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0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0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0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0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0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0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0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0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0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0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0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0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0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0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12" bestFit="1" customWidth="1"/>
    <col min="4" max="4" width="11.5" style="4" bestFit="1" customWidth="1"/>
  </cols>
  <sheetData>
    <row r="1" spans="1:4" x14ac:dyDescent="0.4">
      <c r="A1" s="9" t="s">
        <v>50</v>
      </c>
      <c r="B1" s="9" t="s">
        <v>64</v>
      </c>
      <c r="C1" s="13" t="s">
        <v>74</v>
      </c>
      <c r="D1" s="9" t="s">
        <v>53</v>
      </c>
    </row>
    <row r="2" spans="1:4" x14ac:dyDescent="0.4">
      <c r="A2" s="4">
        <v>1</v>
      </c>
      <c r="B2" s="11" t="s">
        <v>19</v>
      </c>
      <c r="C2" s="14" t="s">
        <v>75</v>
      </c>
    </row>
    <row r="3" spans="1:4" x14ac:dyDescent="0.4">
      <c r="A3" s="4">
        <f t="shared" ref="A3:A11" si="0">INDIRECT(ADDRESS(ROW()-1,COLUMN()),TRUE)+1</f>
        <v>2</v>
      </c>
      <c r="B3" s="15" t="s">
        <v>20</v>
      </c>
      <c r="C3" s="14" t="s">
        <v>76</v>
      </c>
    </row>
    <row r="4" spans="1:4" x14ac:dyDescent="0.4">
      <c r="A4" s="4">
        <f t="shared" si="0"/>
        <v>3</v>
      </c>
      <c r="B4" s="16" t="s">
        <v>3</v>
      </c>
      <c r="C4" s="14" t="s">
        <v>77</v>
      </c>
    </row>
    <row r="5" spans="1:4" x14ac:dyDescent="0.4">
      <c r="A5" s="4">
        <f t="shared" si="0"/>
        <v>4</v>
      </c>
      <c r="B5" s="17" t="s">
        <v>5</v>
      </c>
      <c r="C5" s="14" t="s">
        <v>78</v>
      </c>
    </row>
    <row r="6" spans="1:4" x14ac:dyDescent="0.4">
      <c r="A6" s="4">
        <f t="shared" si="0"/>
        <v>5</v>
      </c>
      <c r="B6" s="18" t="s">
        <v>7</v>
      </c>
      <c r="C6" s="14" t="s">
        <v>79</v>
      </c>
    </row>
    <row r="7" spans="1:4" x14ac:dyDescent="0.4">
      <c r="A7" s="4">
        <f t="shared" si="0"/>
        <v>6</v>
      </c>
      <c r="B7" s="19" t="s">
        <v>9</v>
      </c>
      <c r="C7" s="14" t="s">
        <v>80</v>
      </c>
    </row>
    <row r="8" spans="1:4" x14ac:dyDescent="0.4">
      <c r="A8" s="4">
        <f t="shared" si="0"/>
        <v>7</v>
      </c>
      <c r="B8" s="55" t="s">
        <v>10</v>
      </c>
      <c r="C8" s="14" t="s">
        <v>97</v>
      </c>
    </row>
    <row r="9" spans="1:4" x14ac:dyDescent="0.4">
      <c r="A9" s="4">
        <f t="shared" si="0"/>
        <v>8</v>
      </c>
      <c r="B9" s="20" t="s">
        <v>11</v>
      </c>
      <c r="C9" s="14" t="s">
        <v>81</v>
      </c>
    </row>
    <row r="10" spans="1:4" x14ac:dyDescent="0.4">
      <c r="A10" s="4">
        <f t="shared" si="0"/>
        <v>9</v>
      </c>
      <c r="B10" s="21" t="s">
        <v>13</v>
      </c>
      <c r="C10" s="14" t="s">
        <v>82</v>
      </c>
    </row>
    <row r="11" spans="1:4" x14ac:dyDescent="0.4">
      <c r="A11" s="4">
        <f t="shared" si="0"/>
        <v>10</v>
      </c>
      <c r="B11" s="22" t="s">
        <v>15</v>
      </c>
      <c r="C11" s="14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9" t="s">
        <v>51</v>
      </c>
      <c r="B1" s="9" t="s">
        <v>52</v>
      </c>
      <c r="C1" s="9" t="s">
        <v>74</v>
      </c>
      <c r="D1" s="9" t="s">
        <v>53</v>
      </c>
    </row>
    <row r="2" spans="1:4" x14ac:dyDescent="0.4">
      <c r="A2" s="4">
        <v>1</v>
      </c>
      <c r="B2" s="35" t="s">
        <v>16</v>
      </c>
      <c r="C2" s="23" t="s">
        <v>95</v>
      </c>
    </row>
    <row r="3" spans="1:4" x14ac:dyDescent="0.4">
      <c r="A3" s="4">
        <f t="shared" ref="A3:A12" ca="1" si="0">INDIRECT(ADDRESS(ROW()-1,COLUMN()),TRUE)+1</f>
        <v>2</v>
      </c>
      <c r="B3" s="25" t="s">
        <v>21</v>
      </c>
      <c r="C3" s="23" t="s">
        <v>84</v>
      </c>
    </row>
    <row r="4" spans="1:4" x14ac:dyDescent="0.4">
      <c r="A4" s="4">
        <f t="shared" ca="1" si="0"/>
        <v>3</v>
      </c>
      <c r="B4" s="26" t="s">
        <v>22</v>
      </c>
      <c r="C4" s="23" t="s">
        <v>93</v>
      </c>
    </row>
    <row r="5" spans="1:4" x14ac:dyDescent="0.4">
      <c r="A5" s="4">
        <f t="shared" ca="1" si="0"/>
        <v>4</v>
      </c>
      <c r="B5" s="27" t="s">
        <v>94</v>
      </c>
      <c r="C5" s="23" t="s">
        <v>85</v>
      </c>
    </row>
    <row r="6" spans="1:4" x14ac:dyDescent="0.4">
      <c r="A6" s="4">
        <f t="shared" ca="1" si="0"/>
        <v>5</v>
      </c>
      <c r="B6" s="28" t="s">
        <v>23</v>
      </c>
      <c r="C6" s="24" t="s">
        <v>86</v>
      </c>
    </row>
    <row r="7" spans="1:4" x14ac:dyDescent="0.4">
      <c r="A7" s="4">
        <f t="shared" ca="1" si="0"/>
        <v>6</v>
      </c>
      <c r="B7" s="29" t="s">
        <v>69</v>
      </c>
      <c r="C7" s="23" t="s">
        <v>87</v>
      </c>
    </row>
    <row r="8" spans="1:4" x14ac:dyDescent="0.4">
      <c r="A8" s="4">
        <f t="shared" ca="1" si="0"/>
        <v>7</v>
      </c>
      <c r="B8" s="30" t="s">
        <v>72</v>
      </c>
      <c r="C8" s="23" t="s">
        <v>92</v>
      </c>
    </row>
    <row r="9" spans="1:4" x14ac:dyDescent="0.4">
      <c r="A9" s="4">
        <f t="shared" ca="1" si="0"/>
        <v>8</v>
      </c>
      <c r="B9" s="31" t="s">
        <v>17</v>
      </c>
      <c r="C9" s="23" t="s">
        <v>91</v>
      </c>
    </row>
    <row r="10" spans="1:4" x14ac:dyDescent="0.4">
      <c r="A10" s="4">
        <f t="shared" ca="1" si="0"/>
        <v>9</v>
      </c>
      <c r="B10" s="32" t="s">
        <v>71</v>
      </c>
      <c r="C10" s="24" t="s">
        <v>89</v>
      </c>
    </row>
    <row r="11" spans="1:4" x14ac:dyDescent="0.4">
      <c r="A11" s="4">
        <f t="shared" ca="1" si="0"/>
        <v>10</v>
      </c>
      <c r="B11" s="33" t="s">
        <v>24</v>
      </c>
      <c r="C11" s="23" t="s">
        <v>90</v>
      </c>
    </row>
    <row r="12" spans="1:4" x14ac:dyDescent="0.4">
      <c r="A12" s="4">
        <f t="shared" ca="1" si="0"/>
        <v>11</v>
      </c>
      <c r="B12" s="34" t="s">
        <v>68</v>
      </c>
      <c r="C12" s="23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2016-07-05T02:18:01Z</dcterms:modified>
  <cp:contentStatus/>
</cp:coreProperties>
</file>