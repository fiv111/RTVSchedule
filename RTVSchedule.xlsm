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main!$A$1:$AY$38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B8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9" i="1"/>
  <c r="A3" i="3"/>
  <c r="A4" i="3" s="1"/>
  <c r="A3" i="4"/>
  <c r="A4" i="4" s="1"/>
  <c r="A5" i="4" s="1"/>
  <c r="A6" i="4" s="1"/>
  <c r="A7" i="4" s="1"/>
  <c r="A8" i="4"/>
  <c r="A9" i="4"/>
  <c r="A5" i="3"/>
  <c r="A6" i="3" s="1"/>
  <c r="A7" i="3" s="1"/>
  <c r="A8" i="3"/>
  <c r="A10" i="4"/>
  <c r="A11" i="4"/>
  <c r="A9" i="3"/>
  <c r="A10" i="3" s="1"/>
  <c r="A11" i="3"/>
  <c r="A12" i="4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B10" i="1"/>
  <c r="B11" i="1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B37" i="1"/>
  <c r="B38" i="1" s="1"/>
  <c r="H8" i="1"/>
  <c r="E9" i="1" s="1"/>
  <c r="H9" i="1" s="1"/>
  <c r="E10" i="1"/>
  <c r="H10" i="1"/>
  <c r="E11" i="1"/>
  <c r="H11" i="1" s="1"/>
  <c r="E12" i="1"/>
  <c r="H12" i="1"/>
  <c r="E13" i="1"/>
  <c r="H13" i="1" s="1"/>
  <c r="E14" i="1"/>
  <c r="H14" i="1"/>
  <c r="E15" i="1" s="1"/>
  <c r="H15" i="1" s="1"/>
  <c r="E16" i="1"/>
  <c r="H16" i="1"/>
  <c r="E18" i="1"/>
  <c r="H18" i="1"/>
  <c r="E19" i="1"/>
  <c r="H19" i="1" s="1"/>
  <c r="E20" i="1"/>
  <c r="H20" i="1"/>
  <c r="E21" i="1"/>
  <c r="H21" i="1" s="1"/>
  <c r="E22" i="1"/>
  <c r="H22" i="1"/>
  <c r="E23" i="1"/>
  <c r="H23" i="1" s="1"/>
  <c r="E24" i="1"/>
  <c r="H24" i="1"/>
  <c r="E25" i="1"/>
  <c r="H25" i="1" s="1"/>
  <c r="E26" i="1"/>
  <c r="H26" i="1"/>
  <c r="E27" i="1" s="1"/>
  <c r="H27" i="1"/>
  <c r="E29" i="1"/>
  <c r="H29" i="1"/>
  <c r="E30" i="1"/>
  <c r="H30" i="1"/>
  <c r="E31" i="1"/>
  <c r="H31" i="1" s="1"/>
  <c r="E32" i="1"/>
  <c r="H32" i="1"/>
  <c r="E33" i="1"/>
  <c r="H33" i="1" s="1"/>
  <c r="E34" i="1"/>
  <c r="H34" i="1"/>
  <c r="E35" i="1"/>
  <c r="H35" i="1" s="1"/>
  <c r="E36" i="1"/>
  <c r="H36" i="1"/>
  <c r="E37" i="1" s="1"/>
  <c r="H37" i="1" s="1"/>
  <c r="E38" i="1"/>
  <c r="H38" i="1"/>
</calcChain>
</file>

<file path=xl/sharedStrings.xml><?xml version="1.0" encoding="utf-8"?>
<sst xmlns="http://schemas.openxmlformats.org/spreadsheetml/2006/main" count="907" uniqueCount="98">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</sst>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2" fillId="26" borderId="4" xfId="0" applyNumberFormat="1" applyFont="1" applyFill="1" applyBorder="1" applyAlignment="1">
      <alignment vertical="top"/>
    </xf>
    <xf numFmtId="0" fontId="4" fillId="26" borderId="0" xfId="0" applyNumberFormat="1" applyFont="1" applyFill="1" applyBorder="1" applyAlignment="1">
      <alignment vertical="top"/>
    </xf>
    <xf numFmtId="0" fontId="2" fillId="26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7" borderId="1" xfId="0" applyFill="1" applyBorder="1">
      <alignment vertical="center"/>
    </xf>
    <xf numFmtId="0" fontId="0" fillId="27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7" borderId="1" xfId="0" applyFill="1" applyBorder="1" applyAlignment="1">
      <alignment horizontal="left" vertical="top" indent="1"/>
    </xf>
    <xf numFmtId="0" fontId="0" fillId="27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7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0" fontId="2" fillId="28" borderId="4" xfId="0" applyNumberFormat="1" applyFont="1" applyFill="1" applyBorder="1" applyAlignment="1">
      <alignment vertical="top"/>
    </xf>
    <xf numFmtId="0" fontId="4" fillId="28" borderId="0" xfId="0" applyNumberFormat="1" applyFont="1" applyFill="1" applyBorder="1" applyAlignment="1">
      <alignment vertical="top"/>
    </xf>
    <xf numFmtId="0" fontId="2" fillId="28" borderId="7" xfId="0" applyNumberFormat="1" applyFon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3" fillId="2" borderId="3" xfId="0" applyNumberFormat="1" applyFont="1" applyFill="1" applyBorder="1" applyAlignment="1">
      <alignment vertical="top"/>
    </xf>
    <xf numFmtId="0" fontId="3" fillId="2" borderId="4" xfId="0" applyNumberFormat="1" applyFont="1" applyFill="1" applyBorder="1" applyAlignment="1">
      <alignment vertical="top"/>
    </xf>
    <xf numFmtId="14" fontId="3" fillId="2" borderId="4" xfId="0" applyNumberFormat="1" applyFont="1" applyFill="1" applyBorder="1" applyAlignment="1">
      <alignment vertical="top"/>
    </xf>
    <xf numFmtId="0" fontId="2" fillId="2" borderId="4" xfId="0" applyNumberFormat="1" applyFont="1" applyFill="1" applyBorder="1" applyAlignment="1">
      <alignment vertical="top"/>
    </xf>
    <xf numFmtId="0" fontId="3" fillId="2" borderId="5" xfId="0" applyNumberFormat="1" applyFont="1" applyFill="1" applyBorder="1" applyAlignment="1">
      <alignment horizontal="center" vertical="top"/>
    </xf>
    <xf numFmtId="0" fontId="3" fillId="2" borderId="0" xfId="0" applyNumberFormat="1" applyFont="1" applyFill="1" applyBorder="1" applyAlignment="1">
      <alignment horizontal="center" vertical="top"/>
    </xf>
    <xf numFmtId="14" fontId="3" fillId="2" borderId="0" xfId="0" applyNumberFormat="1" applyFont="1" applyFill="1" applyBorder="1" applyAlignment="1">
      <alignment horizontal="center" vertical="top"/>
    </xf>
    <xf numFmtId="0" fontId="4" fillId="2" borderId="0" xfId="0" applyNumberFormat="1" applyFont="1" applyFill="1" applyBorder="1" applyAlignment="1">
      <alignment vertical="top"/>
    </xf>
    <xf numFmtId="0" fontId="3" fillId="2" borderId="6" xfId="0" applyNumberFormat="1" applyFont="1" applyFill="1" applyBorder="1" applyAlignment="1">
      <alignment vertical="top"/>
    </xf>
    <xf numFmtId="0" fontId="3" fillId="2" borderId="7" xfId="0" applyNumberFormat="1" applyFont="1" applyFill="1" applyBorder="1" applyAlignment="1">
      <alignment vertical="top"/>
    </xf>
    <xf numFmtId="14" fontId="3" fillId="2" borderId="7" xfId="0" applyNumberFormat="1" applyFont="1" applyFill="1" applyBorder="1" applyAlignment="1">
      <alignment vertical="top"/>
    </xf>
    <xf numFmtId="0" fontId="2" fillId="2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F15" sqref="F15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222" width="3" style="6" customWidth="1"/>
    <col min="223" max="16384" width="9" style="6"/>
  </cols>
  <sheetData>
    <row r="1" spans="1:70" s="56" customFormat="1" x14ac:dyDescent="0.4">
      <c r="A1" s="57" t="s">
        <v>96</v>
      </c>
      <c r="B1" s="54"/>
      <c r="C1" s="54"/>
      <c r="D1" s="54"/>
      <c r="E1" s="100"/>
      <c r="F1" s="55"/>
      <c r="G1" s="55"/>
      <c r="H1" s="100"/>
      <c r="I1" s="54"/>
      <c r="J1" s="56" t="str">
        <f>member!$B$2</f>
        <v>member0</v>
      </c>
      <c r="N1" s="56" t="str">
        <f>member!$B$3</f>
        <v>member1</v>
      </c>
      <c r="R1" s="56" t="str">
        <f>member!$B$4</f>
        <v>member2</v>
      </c>
      <c r="V1" s="56" t="str">
        <f>member!$B$5</f>
        <v>member3</v>
      </c>
      <c r="Z1" s="56" t="str">
        <f>member!$B$6</f>
        <v>member4</v>
      </c>
    </row>
    <row r="2" spans="1:70" s="53" customFormat="1" x14ac:dyDescent="0.4">
      <c r="A2" s="51"/>
      <c r="B2" s="51"/>
      <c r="C2" s="51"/>
      <c r="D2" s="51"/>
      <c r="E2" s="101"/>
      <c r="F2" s="52"/>
      <c r="G2" s="52"/>
      <c r="H2" s="101"/>
      <c r="I2" s="51"/>
      <c r="J2" s="56" t="str">
        <f>member!$B$7</f>
        <v>member5</v>
      </c>
      <c r="K2" s="56"/>
      <c r="L2" s="56"/>
      <c r="M2" s="56"/>
      <c r="N2" s="56" t="str">
        <f>member!$B$8</f>
        <v>member6</v>
      </c>
      <c r="O2" s="56"/>
      <c r="P2" s="56"/>
      <c r="Q2" s="56"/>
      <c r="R2" s="56" t="str">
        <f>member!$B$9</f>
        <v>member7</v>
      </c>
      <c r="S2" s="56"/>
      <c r="T2" s="56"/>
      <c r="U2" s="56"/>
      <c r="V2" s="56" t="str">
        <f>member!$B$10</f>
        <v>member8</v>
      </c>
      <c r="W2" s="56"/>
      <c r="X2" s="56"/>
      <c r="Y2" s="56"/>
      <c r="Z2" s="56" t="str">
        <f>member!$B$11</f>
        <v>member9</v>
      </c>
    </row>
    <row r="3" spans="1:70" s="106" customFormat="1" ht="19.5" customHeight="1" x14ac:dyDescent="0.4">
      <c r="A3" s="103"/>
      <c r="B3" s="104"/>
      <c r="C3" s="104"/>
      <c r="D3" s="104"/>
      <c r="E3" s="105"/>
      <c r="F3" s="104"/>
      <c r="G3" s="104"/>
      <c r="H3" s="105"/>
      <c r="I3" s="104"/>
      <c r="J3" s="48">
        <v>6</v>
      </c>
      <c r="K3" s="97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>
        <v>7</v>
      </c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</row>
    <row r="4" spans="1:70" s="110" customFormat="1" x14ac:dyDescent="0.4">
      <c r="A4" s="107" t="s">
        <v>65</v>
      </c>
      <c r="B4" s="108" t="s">
        <v>56</v>
      </c>
      <c r="C4" s="108" t="s">
        <v>57</v>
      </c>
      <c r="D4" s="108" t="s">
        <v>58</v>
      </c>
      <c r="E4" s="109" t="s">
        <v>59</v>
      </c>
      <c r="F4" s="108" t="s">
        <v>60</v>
      </c>
      <c r="G4" s="108" t="s">
        <v>61</v>
      </c>
      <c r="H4" s="109" t="s">
        <v>62</v>
      </c>
      <c r="I4" s="108" t="s">
        <v>63</v>
      </c>
      <c r="J4" s="49">
        <v>1</v>
      </c>
      <c r="K4" s="98">
        <v>2</v>
      </c>
      <c r="L4" s="49">
        <v>3</v>
      </c>
      <c r="M4" s="49">
        <v>4</v>
      </c>
      <c r="N4" s="49">
        <v>5</v>
      </c>
      <c r="O4" s="49">
        <v>6</v>
      </c>
      <c r="P4" s="49">
        <v>7</v>
      </c>
      <c r="Q4" s="49">
        <v>8</v>
      </c>
      <c r="R4" s="49">
        <v>9</v>
      </c>
      <c r="S4" s="49">
        <v>10</v>
      </c>
      <c r="T4" s="49">
        <v>11</v>
      </c>
      <c r="U4" s="49">
        <v>12</v>
      </c>
      <c r="V4" s="49">
        <v>13</v>
      </c>
      <c r="W4" s="49">
        <v>14</v>
      </c>
      <c r="X4" s="49">
        <v>15</v>
      </c>
      <c r="Y4" s="49">
        <v>16</v>
      </c>
      <c r="Z4" s="49">
        <v>17</v>
      </c>
      <c r="AA4" s="49">
        <v>18</v>
      </c>
      <c r="AB4" s="49">
        <v>19</v>
      </c>
      <c r="AC4" s="49">
        <v>20</v>
      </c>
      <c r="AD4" s="49">
        <v>21</v>
      </c>
      <c r="AE4" s="49">
        <v>22</v>
      </c>
      <c r="AF4" s="49">
        <v>23</v>
      </c>
      <c r="AG4" s="49">
        <v>24</v>
      </c>
      <c r="AH4" s="49">
        <v>25</v>
      </c>
      <c r="AI4" s="49">
        <v>26</v>
      </c>
      <c r="AJ4" s="49">
        <v>27</v>
      </c>
      <c r="AK4" s="49">
        <v>28</v>
      </c>
      <c r="AL4" s="49">
        <v>29</v>
      </c>
      <c r="AM4" s="49">
        <v>30</v>
      </c>
      <c r="AN4" s="49">
        <v>1</v>
      </c>
      <c r="AO4" s="49">
        <v>2</v>
      </c>
      <c r="AP4" s="49">
        <v>3</v>
      </c>
      <c r="AQ4" s="49">
        <v>4</v>
      </c>
      <c r="AR4" s="49">
        <v>5</v>
      </c>
      <c r="AS4" s="49">
        <v>6</v>
      </c>
      <c r="AT4" s="49">
        <v>7</v>
      </c>
      <c r="AU4" s="49">
        <v>8</v>
      </c>
      <c r="AV4" s="49">
        <v>9</v>
      </c>
      <c r="AW4" s="49">
        <v>10</v>
      </c>
      <c r="AX4" s="49">
        <v>11</v>
      </c>
      <c r="AY4" s="49">
        <v>12</v>
      </c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</row>
    <row r="5" spans="1:70" s="114" customFormat="1" x14ac:dyDescent="0.4">
      <c r="A5" s="111"/>
      <c r="B5" s="112"/>
      <c r="C5" s="112"/>
      <c r="D5" s="112"/>
      <c r="E5" s="113"/>
      <c r="F5" s="112"/>
      <c r="G5" s="112"/>
      <c r="H5" s="113"/>
      <c r="I5" s="112"/>
      <c r="J5" s="50" t="s">
        <v>31</v>
      </c>
      <c r="K5" s="99" t="s">
        <v>47</v>
      </c>
      <c r="L5" s="50" t="s">
        <v>34</v>
      </c>
      <c r="M5" s="50" t="s">
        <v>36</v>
      </c>
      <c r="N5" s="50" t="s">
        <v>38</v>
      </c>
      <c r="O5" s="50" t="s">
        <v>28</v>
      </c>
      <c r="P5" s="50" t="s">
        <v>26</v>
      </c>
      <c r="Q5" s="50" t="s">
        <v>31</v>
      </c>
      <c r="R5" s="50" t="s">
        <v>47</v>
      </c>
      <c r="S5" s="50" t="s">
        <v>34</v>
      </c>
      <c r="T5" s="50" t="s">
        <v>36</v>
      </c>
      <c r="U5" s="50" t="s">
        <v>38</v>
      </c>
      <c r="V5" s="50" t="s">
        <v>28</v>
      </c>
      <c r="W5" s="50" t="s">
        <v>26</v>
      </c>
      <c r="X5" s="50" t="s">
        <v>31</v>
      </c>
      <c r="Y5" s="50" t="s">
        <v>47</v>
      </c>
      <c r="Z5" s="50" t="s">
        <v>34</v>
      </c>
      <c r="AA5" s="50" t="s">
        <v>36</v>
      </c>
      <c r="AB5" s="50" t="s">
        <v>38</v>
      </c>
      <c r="AC5" s="50" t="s">
        <v>28</v>
      </c>
      <c r="AD5" s="50" t="s">
        <v>26</v>
      </c>
      <c r="AE5" s="50" t="s">
        <v>31</v>
      </c>
      <c r="AF5" s="50" t="s">
        <v>47</v>
      </c>
      <c r="AG5" s="50" t="s">
        <v>34</v>
      </c>
      <c r="AH5" s="50" t="s">
        <v>36</v>
      </c>
      <c r="AI5" s="50" t="s">
        <v>38</v>
      </c>
      <c r="AJ5" s="50" t="s">
        <v>28</v>
      </c>
      <c r="AK5" s="50" t="s">
        <v>26</v>
      </c>
      <c r="AL5" s="50" t="s">
        <v>31</v>
      </c>
      <c r="AM5" s="50" t="s">
        <v>47</v>
      </c>
      <c r="AN5" s="50" t="s">
        <v>34</v>
      </c>
      <c r="AO5" s="50" t="s">
        <v>36</v>
      </c>
      <c r="AP5" s="50" t="s">
        <v>38</v>
      </c>
      <c r="AQ5" s="50" t="s">
        <v>28</v>
      </c>
      <c r="AR5" s="50" t="s">
        <v>26</v>
      </c>
      <c r="AS5" s="50" t="s">
        <v>31</v>
      </c>
      <c r="AT5" s="50" t="s">
        <v>47</v>
      </c>
      <c r="AU5" s="50" t="s">
        <v>34</v>
      </c>
      <c r="AV5" s="50" t="s">
        <v>36</v>
      </c>
      <c r="AW5" s="50" t="s">
        <v>38</v>
      </c>
      <c r="AX5" s="50" t="s">
        <v>28</v>
      </c>
      <c r="AY5" s="50" t="s">
        <v>26</v>
      </c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</row>
    <row r="6" spans="1:70" s="5" customFormat="1" x14ac:dyDescent="0.4">
      <c r="C6" s="5" t="s">
        <v>18</v>
      </c>
      <c r="E6" s="102"/>
      <c r="F6" s="38"/>
      <c r="G6" s="38"/>
      <c r="H6" s="102"/>
    </row>
    <row r="7" spans="1:70" x14ac:dyDescent="0.4">
      <c r="A7" s="6"/>
      <c r="B7" s="39">
        <v>1</v>
      </c>
      <c r="C7" s="39" t="s">
        <v>0</v>
      </c>
      <c r="D7" s="60" t="s">
        <v>1</v>
      </c>
      <c r="E7" s="60">
        <v>42522</v>
      </c>
      <c r="F7" s="61">
        <v>1</v>
      </c>
      <c r="G7" s="61">
        <v>1</v>
      </c>
      <c r="H7" s="60">
        <f>getEndDate()</f>
        <v>42522</v>
      </c>
      <c r="I7" s="78" t="s">
        <v>16</v>
      </c>
      <c r="J7" s="39"/>
      <c r="M7" s="7"/>
      <c r="N7" s="8"/>
      <c r="T7" s="7"/>
      <c r="U7" s="8"/>
      <c r="AA7" s="7"/>
      <c r="AB7" s="8"/>
      <c r="AH7" s="7"/>
      <c r="AI7" s="8"/>
      <c r="AO7" s="7"/>
      <c r="AP7" s="8"/>
      <c r="AV7" s="7"/>
      <c r="AW7" s="8"/>
    </row>
    <row r="8" spans="1:70" x14ac:dyDescent="0.4">
      <c r="A8" s="6"/>
      <c r="B8" s="40">
        <f>nextId(curtAddr())</f>
        <v>2</v>
      </c>
      <c r="C8" s="62" t="s">
        <v>73</v>
      </c>
      <c r="D8" s="40" t="s">
        <v>66</v>
      </c>
      <c r="E8" s="89">
        <f>getStartDate()</f>
        <v>42523</v>
      </c>
      <c r="F8" s="63">
        <v>1</v>
      </c>
      <c r="G8" s="63">
        <v>1</v>
      </c>
      <c r="H8" s="89">
        <f>getEndDate()</f>
        <v>42523</v>
      </c>
      <c r="I8" s="79" t="s">
        <v>21</v>
      </c>
      <c r="K8" s="40"/>
      <c r="M8" s="7"/>
      <c r="N8" s="8"/>
      <c r="T8" s="7"/>
      <c r="U8" s="8"/>
      <c r="AA8" s="7"/>
      <c r="AB8" s="8"/>
      <c r="AH8" s="7"/>
      <c r="AI8" s="8"/>
      <c r="AO8" s="7"/>
      <c r="AP8" s="8"/>
      <c r="AV8" s="7"/>
      <c r="AW8" s="8"/>
    </row>
    <row r="9" spans="1:70" x14ac:dyDescent="0.4">
      <c r="A9" s="6"/>
      <c r="B9" s="41">
        <f>nextId(curtAddr())</f>
        <v>3</v>
      </c>
      <c r="C9" s="41" t="s">
        <v>2</v>
      </c>
      <c r="D9" s="41" t="s">
        <v>3</v>
      </c>
      <c r="E9" s="90">
        <f>getStartDate()</f>
        <v>42524</v>
      </c>
      <c r="F9" s="64">
        <v>1</v>
      </c>
      <c r="G9" s="64">
        <v>1</v>
      </c>
      <c r="H9" s="90">
        <f t="shared" ref="H9:H38" si="0">getEndDate()</f>
        <v>42524</v>
      </c>
      <c r="I9" s="80" t="s">
        <v>22</v>
      </c>
      <c r="L9" s="41"/>
      <c r="M9" s="7"/>
      <c r="N9" s="8"/>
      <c r="T9" s="7"/>
      <c r="U9" s="8"/>
      <c r="AA9" s="7"/>
      <c r="AB9" s="8"/>
      <c r="AH9" s="7"/>
      <c r="AI9" s="8"/>
      <c r="AO9" s="7"/>
      <c r="AP9" s="8"/>
      <c r="AV9" s="7"/>
      <c r="AW9" s="8"/>
    </row>
    <row r="10" spans="1:70" x14ac:dyDescent="0.4">
      <c r="A10" s="6"/>
      <c r="B10" s="42">
        <f>nextId(curtAddr())</f>
        <v>4</v>
      </c>
      <c r="C10" s="65" t="s">
        <v>4</v>
      </c>
      <c r="D10" s="42" t="s">
        <v>5</v>
      </c>
      <c r="E10" s="91">
        <f t="shared" ref="E10:E38" si="1">getStartDate()</f>
        <v>42527</v>
      </c>
      <c r="F10" s="66">
        <v>1</v>
      </c>
      <c r="G10" s="66">
        <v>1</v>
      </c>
      <c r="H10" s="91">
        <f>getEndDate()</f>
        <v>42527</v>
      </c>
      <c r="I10" s="81" t="s">
        <v>94</v>
      </c>
      <c r="M10" s="7"/>
      <c r="N10" s="8"/>
      <c r="O10" s="42"/>
      <c r="T10" s="7"/>
      <c r="U10" s="8"/>
      <c r="AA10" s="7"/>
      <c r="AB10" s="8"/>
      <c r="AH10" s="7"/>
      <c r="AI10" s="8"/>
      <c r="AO10" s="7"/>
      <c r="AP10" s="8"/>
      <c r="AV10" s="7"/>
      <c r="AW10" s="8"/>
    </row>
    <row r="11" spans="1:70" x14ac:dyDescent="0.4">
      <c r="A11" s="6"/>
      <c r="B11" s="36">
        <f>nextId(curtAddr())</f>
        <v>5</v>
      </c>
      <c r="C11" s="67" t="s">
        <v>6</v>
      </c>
      <c r="D11" s="36" t="s">
        <v>7</v>
      </c>
      <c r="E11" s="92">
        <f t="shared" si="1"/>
        <v>42528</v>
      </c>
      <c r="F11" s="68">
        <v>1</v>
      </c>
      <c r="G11" s="68">
        <v>1</v>
      </c>
      <c r="H11" s="92">
        <f t="shared" si="0"/>
        <v>42528</v>
      </c>
      <c r="I11" s="82" t="s">
        <v>23</v>
      </c>
      <c r="M11" s="7"/>
      <c r="N11" s="8"/>
      <c r="P11" s="36"/>
      <c r="T11" s="7"/>
      <c r="U11" s="8"/>
      <c r="AA11" s="7"/>
      <c r="AB11" s="8"/>
      <c r="AH11" s="7"/>
      <c r="AI11" s="8"/>
      <c r="AO11" s="7"/>
      <c r="AP11" s="8"/>
      <c r="AV11" s="7"/>
      <c r="AW11" s="8"/>
    </row>
    <row r="12" spans="1:70" x14ac:dyDescent="0.4">
      <c r="A12" s="6"/>
      <c r="B12" s="43">
        <f>nextId(curtAddr())</f>
        <v>6</v>
      </c>
      <c r="C12" s="69" t="s">
        <v>8</v>
      </c>
      <c r="D12" s="43" t="s">
        <v>9</v>
      </c>
      <c r="E12" s="88">
        <f t="shared" si="1"/>
        <v>42529</v>
      </c>
      <c r="F12" s="70">
        <v>1</v>
      </c>
      <c r="G12" s="70">
        <v>1</v>
      </c>
      <c r="H12" s="88">
        <f t="shared" si="0"/>
        <v>42529</v>
      </c>
      <c r="I12" s="83" t="s">
        <v>69</v>
      </c>
      <c r="M12" s="7"/>
      <c r="N12" s="8"/>
      <c r="Q12" s="43"/>
      <c r="T12" s="7"/>
      <c r="U12" s="8"/>
      <c r="AA12" s="7"/>
      <c r="AB12" s="8"/>
      <c r="AH12" s="7"/>
      <c r="AI12" s="8"/>
      <c r="AO12" s="7"/>
      <c r="AP12" s="8"/>
      <c r="AV12" s="7"/>
      <c r="AW12" s="8"/>
    </row>
    <row r="13" spans="1:70" x14ac:dyDescent="0.4">
      <c r="A13" s="6"/>
      <c r="B13" s="59">
        <f>nextId(curtAddr())</f>
        <v>7</v>
      </c>
      <c r="C13" s="71" t="s">
        <v>6</v>
      </c>
      <c r="D13" s="59" t="s">
        <v>10</v>
      </c>
      <c r="E13" s="93">
        <f t="shared" si="1"/>
        <v>42530</v>
      </c>
      <c r="F13" s="72">
        <v>1</v>
      </c>
      <c r="G13" s="72">
        <v>1</v>
      </c>
      <c r="H13" s="93">
        <f t="shared" si="0"/>
        <v>42530</v>
      </c>
      <c r="I13" s="84" t="s">
        <v>72</v>
      </c>
      <c r="M13" s="7"/>
      <c r="N13" s="8"/>
      <c r="R13" s="59"/>
      <c r="T13" s="7"/>
      <c r="U13" s="8"/>
      <c r="AA13" s="7"/>
      <c r="AB13" s="8"/>
      <c r="AH13" s="7"/>
      <c r="AI13" s="8"/>
      <c r="AO13" s="7"/>
      <c r="AP13" s="8"/>
      <c r="AV13" s="7"/>
      <c r="AW13" s="8"/>
    </row>
    <row r="14" spans="1:70" x14ac:dyDescent="0.4">
      <c r="A14" s="6"/>
      <c r="B14" s="44">
        <f>nextId(curtAddr())</f>
        <v>8</v>
      </c>
      <c r="C14" s="73" t="s">
        <v>8</v>
      </c>
      <c r="D14" s="44" t="s">
        <v>11</v>
      </c>
      <c r="E14" s="94">
        <f t="shared" si="1"/>
        <v>42531</v>
      </c>
      <c r="F14" s="74">
        <v>1</v>
      </c>
      <c r="G14" s="74">
        <v>1</v>
      </c>
      <c r="H14" s="94">
        <f t="shared" si="0"/>
        <v>42531</v>
      </c>
      <c r="I14" s="85" t="s">
        <v>17</v>
      </c>
      <c r="M14" s="7"/>
      <c r="N14" s="8"/>
      <c r="S14" s="44"/>
      <c r="T14" s="7"/>
      <c r="U14" s="8"/>
      <c r="AA14" s="7"/>
      <c r="AB14" s="8"/>
      <c r="AH14" s="7"/>
      <c r="AI14" s="8"/>
      <c r="AO14" s="7"/>
      <c r="AP14" s="8"/>
      <c r="AV14" s="7"/>
      <c r="AW14" s="8"/>
    </row>
    <row r="15" spans="1:70" x14ac:dyDescent="0.4">
      <c r="A15" s="6"/>
      <c r="B15" s="45">
        <f>nextId(curtAddr())</f>
        <v>9</v>
      </c>
      <c r="C15" s="75" t="s">
        <v>12</v>
      </c>
      <c r="D15" s="45" t="s">
        <v>13</v>
      </c>
      <c r="E15" s="95">
        <f t="shared" si="1"/>
        <v>42534</v>
      </c>
      <c r="F15" s="76">
        <v>1</v>
      </c>
      <c r="G15" s="76">
        <v>1</v>
      </c>
      <c r="H15" s="95">
        <f t="shared" si="0"/>
        <v>42534</v>
      </c>
      <c r="I15" s="86" t="s">
        <v>70</v>
      </c>
      <c r="M15" s="7"/>
      <c r="N15" s="8"/>
      <c r="T15" s="7"/>
      <c r="U15" s="8"/>
      <c r="V15" s="45"/>
      <c r="AA15" s="7"/>
      <c r="AB15" s="8"/>
      <c r="AH15" s="7"/>
      <c r="AI15" s="8"/>
      <c r="AO15" s="7"/>
      <c r="AP15" s="8"/>
      <c r="AV15" s="7"/>
      <c r="AW15" s="8"/>
    </row>
    <row r="16" spans="1:7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6">
        <f t="shared" si="1"/>
        <v>42535</v>
      </c>
      <c r="F16" s="77">
        <v>1</v>
      </c>
      <c r="G16" s="77">
        <v>1</v>
      </c>
      <c r="H16" s="96">
        <f t="shared" si="0"/>
        <v>42535</v>
      </c>
      <c r="I16" s="87" t="s">
        <v>67</v>
      </c>
      <c r="M16" s="7"/>
      <c r="N16" s="8"/>
      <c r="T16" s="7"/>
      <c r="U16" s="8"/>
      <c r="W16" s="46"/>
      <c r="AA16" s="7"/>
      <c r="AB16" s="8"/>
      <c r="AH16" s="7"/>
      <c r="AI16" s="8"/>
      <c r="AO16" s="7"/>
      <c r="AP16" s="8"/>
      <c r="AV16" s="7"/>
      <c r="AW16" s="8"/>
    </row>
    <row r="17" spans="1:49" s="5" customFormat="1" x14ac:dyDescent="0.4">
      <c r="C17" s="5" t="s">
        <v>18</v>
      </c>
      <c r="E17" s="102"/>
      <c r="F17" s="38"/>
      <c r="G17" s="38"/>
      <c r="H17" s="102"/>
    </row>
    <row r="18" spans="1:49" x14ac:dyDescent="0.4">
      <c r="A18" s="6"/>
      <c r="B18" s="39">
        <f>nextId(curtAddr())</f>
        <v>11</v>
      </c>
      <c r="C18" s="39" t="s">
        <v>0</v>
      </c>
      <c r="D18" s="39" t="s">
        <v>1</v>
      </c>
      <c r="E18" s="60">
        <f t="shared" si="1"/>
        <v>42536</v>
      </c>
      <c r="F18" s="61">
        <v>1</v>
      </c>
      <c r="G18" s="61">
        <v>1</v>
      </c>
      <c r="H18" s="60">
        <f t="shared" si="0"/>
        <v>42536</v>
      </c>
      <c r="I18" s="78" t="s">
        <v>16</v>
      </c>
      <c r="M18" s="7"/>
      <c r="N18" s="8"/>
      <c r="T18" s="7"/>
      <c r="U18" s="8"/>
      <c r="X18" s="39"/>
      <c r="AA18" s="7"/>
      <c r="AB18" s="8"/>
      <c r="AH18" s="7"/>
      <c r="AI18" s="8"/>
      <c r="AO18" s="7"/>
      <c r="AP18" s="8"/>
      <c r="AV18" s="7"/>
      <c r="AW18" s="8"/>
    </row>
    <row r="19" spans="1:49" x14ac:dyDescent="0.4">
      <c r="A19" s="6"/>
      <c r="B19" s="40">
        <f>nextId(curtAddr())</f>
        <v>12</v>
      </c>
      <c r="C19" s="62" t="s">
        <v>73</v>
      </c>
      <c r="D19" s="40" t="s">
        <v>66</v>
      </c>
      <c r="E19" s="89">
        <f t="shared" si="1"/>
        <v>42537</v>
      </c>
      <c r="F19" s="63">
        <v>1</v>
      </c>
      <c r="G19" s="63">
        <v>1</v>
      </c>
      <c r="H19" s="89">
        <f t="shared" si="0"/>
        <v>42537</v>
      </c>
      <c r="I19" s="79" t="s">
        <v>21</v>
      </c>
      <c r="M19" s="7"/>
      <c r="N19" s="8"/>
      <c r="T19" s="7"/>
      <c r="U19" s="8"/>
      <c r="Y19" s="40"/>
      <c r="AA19" s="7"/>
      <c r="AB19" s="8"/>
      <c r="AH19" s="7"/>
      <c r="AI19" s="8"/>
      <c r="AO19" s="7"/>
      <c r="AP19" s="8"/>
      <c r="AV19" s="7"/>
      <c r="AW19" s="8"/>
    </row>
    <row r="20" spans="1:49" x14ac:dyDescent="0.4">
      <c r="A20" s="6"/>
      <c r="B20" s="41">
        <f>nextId(curtAddr())</f>
        <v>13</v>
      </c>
      <c r="C20" s="41" t="s">
        <v>2</v>
      </c>
      <c r="D20" s="41" t="s">
        <v>3</v>
      </c>
      <c r="E20" s="90">
        <f t="shared" si="1"/>
        <v>42538</v>
      </c>
      <c r="F20" s="64">
        <v>1</v>
      </c>
      <c r="G20" s="64">
        <v>1</v>
      </c>
      <c r="H20" s="90">
        <f t="shared" si="0"/>
        <v>42538</v>
      </c>
      <c r="I20" s="80" t="s">
        <v>22</v>
      </c>
      <c r="M20" s="7"/>
      <c r="N20" s="8"/>
      <c r="T20" s="7"/>
      <c r="U20" s="8"/>
      <c r="Z20" s="41"/>
      <c r="AA20" s="7"/>
      <c r="AB20" s="8"/>
      <c r="AH20" s="7"/>
      <c r="AI20" s="8"/>
      <c r="AO20" s="7"/>
      <c r="AP20" s="8"/>
      <c r="AV20" s="7"/>
      <c r="AW20" s="8"/>
    </row>
    <row r="21" spans="1:49" x14ac:dyDescent="0.4">
      <c r="A21" s="6"/>
      <c r="B21" s="42">
        <f>nextId(curtAddr())</f>
        <v>14</v>
      </c>
      <c r="C21" s="65" t="s">
        <v>4</v>
      </c>
      <c r="D21" s="42" t="s">
        <v>5</v>
      </c>
      <c r="E21" s="91">
        <f t="shared" si="1"/>
        <v>42541</v>
      </c>
      <c r="F21" s="66">
        <v>1</v>
      </c>
      <c r="G21" s="66">
        <v>1</v>
      </c>
      <c r="H21" s="91">
        <f t="shared" si="0"/>
        <v>42541</v>
      </c>
      <c r="I21" s="81" t="s">
        <v>94</v>
      </c>
      <c r="M21" s="7"/>
      <c r="N21" s="8"/>
      <c r="T21" s="7"/>
      <c r="U21" s="8"/>
      <c r="AA21" s="7"/>
      <c r="AB21" s="8"/>
      <c r="AC21" s="42"/>
      <c r="AH21" s="7"/>
      <c r="AI21" s="8"/>
      <c r="AO21" s="7"/>
      <c r="AP21" s="8"/>
      <c r="AV21" s="7"/>
      <c r="AW21" s="8"/>
    </row>
    <row r="22" spans="1:49" x14ac:dyDescent="0.4">
      <c r="A22" s="6"/>
      <c r="B22" s="36">
        <f>nextId(curtAddr())</f>
        <v>15</v>
      </c>
      <c r="C22" s="67" t="s">
        <v>6</v>
      </c>
      <c r="D22" s="36" t="s">
        <v>7</v>
      </c>
      <c r="E22" s="92">
        <f t="shared" si="1"/>
        <v>42542</v>
      </c>
      <c r="F22" s="68">
        <v>1</v>
      </c>
      <c r="G22" s="68">
        <v>1</v>
      </c>
      <c r="H22" s="92">
        <f t="shared" si="0"/>
        <v>42542</v>
      </c>
      <c r="I22" s="82" t="s">
        <v>23</v>
      </c>
      <c r="M22" s="7"/>
      <c r="N22" s="8"/>
      <c r="T22" s="7"/>
      <c r="U22" s="8"/>
      <c r="AA22" s="7"/>
      <c r="AB22" s="8"/>
      <c r="AD22" s="36"/>
      <c r="AH22" s="7"/>
      <c r="AI22" s="8"/>
      <c r="AO22" s="7"/>
      <c r="AP22" s="8"/>
      <c r="AV22" s="7"/>
      <c r="AW22" s="8"/>
    </row>
    <row r="23" spans="1:49" x14ac:dyDescent="0.4">
      <c r="A23" s="6"/>
      <c r="B23" s="43">
        <f>nextId(curtAddr())</f>
        <v>16</v>
      </c>
      <c r="C23" s="69" t="s">
        <v>8</v>
      </c>
      <c r="D23" s="43" t="s">
        <v>9</v>
      </c>
      <c r="E23" s="88">
        <f t="shared" si="1"/>
        <v>42543</v>
      </c>
      <c r="F23" s="70">
        <v>1</v>
      </c>
      <c r="G23" s="70">
        <v>1</v>
      </c>
      <c r="H23" s="88">
        <f>getEndDate()</f>
        <v>42543</v>
      </c>
      <c r="I23" s="83" t="s">
        <v>69</v>
      </c>
      <c r="M23" s="7"/>
      <c r="N23" s="8"/>
      <c r="T23" s="7"/>
      <c r="U23" s="8"/>
      <c r="AA23" s="7"/>
      <c r="AB23" s="8"/>
      <c r="AE23" s="43"/>
      <c r="AH23" s="7"/>
      <c r="AI23" s="8"/>
      <c r="AO23" s="7"/>
      <c r="AP23" s="8"/>
      <c r="AV23" s="7"/>
      <c r="AW23" s="8"/>
    </row>
    <row r="24" spans="1:49" x14ac:dyDescent="0.4">
      <c r="A24" s="6"/>
      <c r="B24" s="59">
        <f>nextId(curtAddr())</f>
        <v>17</v>
      </c>
      <c r="C24" s="71" t="s">
        <v>6</v>
      </c>
      <c r="D24" s="59" t="s">
        <v>10</v>
      </c>
      <c r="E24" s="93">
        <f>getStartDate()</f>
        <v>42544</v>
      </c>
      <c r="F24" s="72">
        <v>1</v>
      </c>
      <c r="G24" s="72">
        <v>1</v>
      </c>
      <c r="H24" s="93">
        <f t="shared" si="0"/>
        <v>42544</v>
      </c>
      <c r="I24" s="84" t="s">
        <v>72</v>
      </c>
      <c r="M24" s="7"/>
      <c r="N24" s="8"/>
      <c r="T24" s="7"/>
      <c r="U24" s="8"/>
      <c r="AA24" s="7"/>
      <c r="AB24" s="8"/>
      <c r="AF24" s="59"/>
      <c r="AH24" s="7"/>
      <c r="AI24" s="8"/>
      <c r="AO24" s="7"/>
      <c r="AP24" s="8"/>
      <c r="AV24" s="7"/>
      <c r="AW24" s="8"/>
    </row>
    <row r="25" spans="1:49" x14ac:dyDescent="0.4">
      <c r="A25" s="6"/>
      <c r="B25" s="44">
        <f>nextId(curtAddr())</f>
        <v>18</v>
      </c>
      <c r="C25" s="73" t="s">
        <v>8</v>
      </c>
      <c r="D25" s="44" t="s">
        <v>11</v>
      </c>
      <c r="E25" s="94">
        <f t="shared" si="1"/>
        <v>42545</v>
      </c>
      <c r="F25" s="74">
        <v>1</v>
      </c>
      <c r="G25" s="74">
        <v>1</v>
      </c>
      <c r="H25" s="94">
        <f t="shared" si="0"/>
        <v>42545</v>
      </c>
      <c r="I25" s="85" t="s">
        <v>17</v>
      </c>
      <c r="M25" s="7"/>
      <c r="N25" s="8"/>
      <c r="T25" s="7"/>
      <c r="U25" s="8"/>
      <c r="AA25" s="7"/>
      <c r="AB25" s="8"/>
      <c r="AG25" s="44"/>
      <c r="AH25" s="7"/>
      <c r="AI25" s="8"/>
      <c r="AO25" s="7"/>
      <c r="AP25" s="8"/>
      <c r="AV25" s="7"/>
      <c r="AW25" s="8"/>
    </row>
    <row r="26" spans="1:49" x14ac:dyDescent="0.4">
      <c r="A26" s="6"/>
      <c r="B26" s="45">
        <f>nextId(curtAddr())</f>
        <v>19</v>
      </c>
      <c r="C26" s="75" t="s">
        <v>12</v>
      </c>
      <c r="D26" s="45" t="s">
        <v>13</v>
      </c>
      <c r="E26" s="95">
        <f t="shared" si="1"/>
        <v>42548</v>
      </c>
      <c r="F26" s="76">
        <v>1</v>
      </c>
      <c r="G26" s="76">
        <v>1</v>
      </c>
      <c r="H26" s="95">
        <f t="shared" si="0"/>
        <v>42548</v>
      </c>
      <c r="I26" s="86" t="s">
        <v>70</v>
      </c>
      <c r="M26" s="7"/>
      <c r="N26" s="8"/>
      <c r="T26" s="7"/>
      <c r="U26" s="8"/>
      <c r="AA26" s="7"/>
      <c r="AB26" s="8"/>
      <c r="AH26" s="7"/>
      <c r="AI26" s="8"/>
      <c r="AJ26" s="45"/>
      <c r="AO26" s="7"/>
      <c r="AP26" s="8"/>
      <c r="AV26" s="7"/>
      <c r="AW26" s="8"/>
    </row>
    <row r="27" spans="1:49" x14ac:dyDescent="0.4">
      <c r="A27" s="6"/>
      <c r="B27" s="46">
        <f>nextId(curtAddr())</f>
        <v>20</v>
      </c>
      <c r="C27" s="46" t="s">
        <v>14</v>
      </c>
      <c r="D27" s="46" t="s">
        <v>15</v>
      </c>
      <c r="E27" s="96">
        <f t="shared" si="1"/>
        <v>42549</v>
      </c>
      <c r="F27" s="77">
        <v>1</v>
      </c>
      <c r="G27" s="77">
        <v>1</v>
      </c>
      <c r="H27" s="96">
        <f t="shared" si="0"/>
        <v>42549</v>
      </c>
      <c r="I27" s="87" t="s">
        <v>67</v>
      </c>
      <c r="M27" s="7"/>
      <c r="N27" s="8"/>
      <c r="T27" s="7"/>
      <c r="U27" s="8"/>
      <c r="AA27" s="7"/>
      <c r="AB27" s="8"/>
      <c r="AH27" s="7"/>
      <c r="AI27" s="8"/>
      <c r="AK27" s="46"/>
      <c r="AO27" s="7"/>
      <c r="AP27" s="8"/>
      <c r="AV27" s="7"/>
      <c r="AW27" s="8"/>
    </row>
    <row r="28" spans="1:49" s="47" customFormat="1" x14ac:dyDescent="0.4">
      <c r="A28" s="5"/>
      <c r="B28" s="5"/>
      <c r="C28" s="5" t="s">
        <v>18</v>
      </c>
      <c r="D28" s="5"/>
      <c r="E28" s="102"/>
      <c r="F28" s="38"/>
      <c r="G28" s="38"/>
      <c r="H28" s="102"/>
      <c r="I28" s="5"/>
    </row>
    <row r="29" spans="1:49" x14ac:dyDescent="0.4">
      <c r="A29" s="6"/>
      <c r="B29" s="39">
        <f>nextId(curtAddr())</f>
        <v>21</v>
      </c>
      <c r="C29" s="39" t="s">
        <v>0</v>
      </c>
      <c r="D29" s="39" t="s">
        <v>1</v>
      </c>
      <c r="E29" s="60">
        <f t="shared" si="1"/>
        <v>42550</v>
      </c>
      <c r="F29" s="61">
        <v>1</v>
      </c>
      <c r="G29" s="61">
        <v>1</v>
      </c>
      <c r="H29" s="60">
        <f t="shared" si="0"/>
        <v>42550</v>
      </c>
      <c r="I29" s="78" t="s">
        <v>16</v>
      </c>
      <c r="M29" s="7"/>
      <c r="N29" s="8"/>
      <c r="T29" s="7"/>
      <c r="U29" s="8"/>
      <c r="AA29" s="7"/>
      <c r="AB29" s="8"/>
      <c r="AH29" s="7"/>
      <c r="AI29" s="8"/>
      <c r="AL29" s="39"/>
      <c r="AO29" s="7"/>
      <c r="AP29" s="8"/>
      <c r="AV29" s="7"/>
      <c r="AW29" s="8"/>
    </row>
    <row r="30" spans="1:49" x14ac:dyDescent="0.4">
      <c r="A30" s="6"/>
      <c r="B30" s="40">
        <f>nextId(curtAddr())</f>
        <v>22</v>
      </c>
      <c r="C30" s="62" t="s">
        <v>73</v>
      </c>
      <c r="D30" s="40" t="s">
        <v>66</v>
      </c>
      <c r="E30" s="89">
        <f t="shared" si="1"/>
        <v>42551</v>
      </c>
      <c r="F30" s="63">
        <v>1</v>
      </c>
      <c r="G30" s="63">
        <v>1</v>
      </c>
      <c r="H30" s="89">
        <f t="shared" si="0"/>
        <v>42551</v>
      </c>
      <c r="I30" s="79" t="s">
        <v>21</v>
      </c>
      <c r="M30" s="7"/>
      <c r="N30" s="8"/>
      <c r="T30" s="7"/>
      <c r="U30" s="8"/>
      <c r="AA30" s="7"/>
      <c r="AB30" s="8"/>
      <c r="AH30" s="7"/>
      <c r="AI30" s="8"/>
      <c r="AM30" s="40"/>
      <c r="AO30" s="7"/>
      <c r="AP30" s="8"/>
      <c r="AV30" s="7"/>
      <c r="AW30" s="8"/>
    </row>
    <row r="31" spans="1:49" x14ac:dyDescent="0.4">
      <c r="A31" s="6"/>
      <c r="B31" s="41">
        <f>nextId(curtAddr())</f>
        <v>23</v>
      </c>
      <c r="C31" s="41" t="s">
        <v>2</v>
      </c>
      <c r="D31" s="41" t="s">
        <v>3</v>
      </c>
      <c r="E31" s="90">
        <f t="shared" si="1"/>
        <v>42552</v>
      </c>
      <c r="F31" s="64">
        <v>1</v>
      </c>
      <c r="G31" s="64">
        <v>1</v>
      </c>
      <c r="H31" s="90">
        <f t="shared" si="0"/>
        <v>42552</v>
      </c>
      <c r="I31" s="80" t="s">
        <v>22</v>
      </c>
      <c r="M31" s="7"/>
      <c r="N31" s="8"/>
      <c r="T31" s="7"/>
      <c r="U31" s="8"/>
      <c r="AA31" s="7"/>
      <c r="AB31" s="8"/>
      <c r="AH31" s="7"/>
      <c r="AI31" s="8"/>
      <c r="AN31" s="41"/>
      <c r="AO31" s="7"/>
      <c r="AP31" s="8"/>
      <c r="AV31" s="7"/>
      <c r="AW31" s="8"/>
    </row>
    <row r="32" spans="1:49" x14ac:dyDescent="0.4">
      <c r="A32" s="6"/>
      <c r="B32" s="42">
        <f>nextId(curtAddr())</f>
        <v>24</v>
      </c>
      <c r="C32" s="65" t="s">
        <v>4</v>
      </c>
      <c r="D32" s="42" t="s">
        <v>5</v>
      </c>
      <c r="E32" s="91">
        <f t="shared" si="1"/>
        <v>42555</v>
      </c>
      <c r="F32" s="66">
        <v>1</v>
      </c>
      <c r="G32" s="66">
        <v>1</v>
      </c>
      <c r="H32" s="91">
        <f t="shared" si="0"/>
        <v>42555</v>
      </c>
      <c r="I32" s="81" t="s">
        <v>94</v>
      </c>
      <c r="M32" s="7"/>
      <c r="N32" s="8"/>
      <c r="T32" s="7"/>
      <c r="U32" s="8"/>
      <c r="AA32" s="7"/>
      <c r="AB32" s="8"/>
      <c r="AH32" s="7"/>
      <c r="AI32" s="8"/>
      <c r="AO32" s="7"/>
      <c r="AP32" s="8"/>
      <c r="AQ32" s="42"/>
      <c r="AV32" s="7"/>
      <c r="AW32" s="8"/>
    </row>
    <row r="33" spans="1:51" x14ac:dyDescent="0.4">
      <c r="A33" s="6"/>
      <c r="B33" s="36">
        <f>nextId(curtAddr())</f>
        <v>25</v>
      </c>
      <c r="C33" s="67" t="s">
        <v>6</v>
      </c>
      <c r="D33" s="36" t="s">
        <v>7</v>
      </c>
      <c r="E33" s="92">
        <f t="shared" si="1"/>
        <v>42556</v>
      </c>
      <c r="F33" s="68">
        <v>1</v>
      </c>
      <c r="G33" s="68">
        <v>1</v>
      </c>
      <c r="H33" s="92">
        <f t="shared" si="0"/>
        <v>42556</v>
      </c>
      <c r="I33" s="82" t="s">
        <v>23</v>
      </c>
      <c r="M33" s="7"/>
      <c r="N33" s="8"/>
      <c r="T33" s="7"/>
      <c r="U33" s="8"/>
      <c r="AA33" s="7"/>
      <c r="AB33" s="8"/>
      <c r="AH33" s="7"/>
      <c r="AI33" s="8"/>
      <c r="AO33" s="7"/>
      <c r="AP33" s="8"/>
      <c r="AR33" s="36"/>
      <c r="AV33" s="7"/>
      <c r="AW33" s="8"/>
    </row>
    <row r="34" spans="1:51" x14ac:dyDescent="0.4">
      <c r="A34" s="6"/>
      <c r="B34" s="43">
        <f>nextId(curtAddr())</f>
        <v>26</v>
      </c>
      <c r="C34" s="69" t="s">
        <v>8</v>
      </c>
      <c r="D34" s="43" t="s">
        <v>9</v>
      </c>
      <c r="E34" s="88">
        <f t="shared" si="1"/>
        <v>42557</v>
      </c>
      <c r="F34" s="70">
        <v>1</v>
      </c>
      <c r="G34" s="70">
        <v>1</v>
      </c>
      <c r="H34" s="88">
        <f t="shared" si="0"/>
        <v>42557</v>
      </c>
      <c r="I34" s="83" t="s">
        <v>69</v>
      </c>
      <c r="M34" s="7"/>
      <c r="N34" s="8"/>
      <c r="T34" s="7"/>
      <c r="U34" s="8"/>
      <c r="AA34" s="7"/>
      <c r="AB34" s="8"/>
      <c r="AH34" s="7"/>
      <c r="AI34" s="8"/>
      <c r="AO34" s="7"/>
      <c r="AP34" s="8"/>
      <c r="AS34" s="43"/>
      <c r="AV34" s="7"/>
      <c r="AW34" s="8"/>
    </row>
    <row r="35" spans="1:51" x14ac:dyDescent="0.4">
      <c r="A35" s="6"/>
      <c r="B35" s="59">
        <f>nextId(curtAddr())</f>
        <v>27</v>
      </c>
      <c r="C35" s="71" t="s">
        <v>6</v>
      </c>
      <c r="D35" s="59" t="s">
        <v>10</v>
      </c>
      <c r="E35" s="93">
        <f t="shared" si="1"/>
        <v>42558</v>
      </c>
      <c r="F35" s="72">
        <v>1</v>
      </c>
      <c r="G35" s="72">
        <v>1</v>
      </c>
      <c r="H35" s="93">
        <f t="shared" si="0"/>
        <v>42558</v>
      </c>
      <c r="I35" s="84" t="s">
        <v>72</v>
      </c>
      <c r="M35" s="7"/>
      <c r="N35" s="8"/>
      <c r="T35" s="7"/>
      <c r="U35" s="8"/>
      <c r="AA35" s="7"/>
      <c r="AB35" s="8"/>
      <c r="AH35" s="7"/>
      <c r="AI35" s="8"/>
      <c r="AO35" s="7"/>
      <c r="AP35" s="8"/>
      <c r="AT35" s="59"/>
      <c r="AV35" s="7"/>
      <c r="AW35" s="8"/>
    </row>
    <row r="36" spans="1:51" x14ac:dyDescent="0.4">
      <c r="A36" s="6"/>
      <c r="B36" s="44">
        <f>nextId(curtAddr())</f>
        <v>28</v>
      </c>
      <c r="C36" s="73" t="s">
        <v>8</v>
      </c>
      <c r="D36" s="44" t="s">
        <v>11</v>
      </c>
      <c r="E36" s="94">
        <f t="shared" si="1"/>
        <v>42559</v>
      </c>
      <c r="F36" s="74">
        <v>1</v>
      </c>
      <c r="G36" s="74">
        <v>1</v>
      </c>
      <c r="H36" s="94">
        <f t="shared" si="0"/>
        <v>42559</v>
      </c>
      <c r="I36" s="85" t="s">
        <v>17</v>
      </c>
      <c r="M36" s="7"/>
      <c r="N36" s="8"/>
      <c r="T36" s="7"/>
      <c r="U36" s="8"/>
      <c r="AA36" s="7"/>
      <c r="AB36" s="8"/>
      <c r="AH36" s="7"/>
      <c r="AI36" s="8"/>
      <c r="AO36" s="7"/>
      <c r="AP36" s="8"/>
      <c r="AU36" s="44"/>
      <c r="AV36" s="7"/>
      <c r="AW36" s="8"/>
    </row>
    <row r="37" spans="1:51" x14ac:dyDescent="0.4">
      <c r="A37" s="6"/>
      <c r="B37" s="45">
        <f>nextId(curtAddr())</f>
        <v>29</v>
      </c>
      <c r="C37" s="75" t="s">
        <v>12</v>
      </c>
      <c r="D37" s="45" t="s">
        <v>13</v>
      </c>
      <c r="E37" s="95">
        <f t="shared" si="1"/>
        <v>42562</v>
      </c>
      <c r="F37" s="76">
        <v>1</v>
      </c>
      <c r="G37" s="76">
        <v>1</v>
      </c>
      <c r="H37" s="95">
        <f t="shared" si="0"/>
        <v>42562</v>
      </c>
      <c r="I37" s="86" t="s">
        <v>70</v>
      </c>
      <c r="M37" s="7"/>
      <c r="N37" s="8"/>
      <c r="T37" s="7"/>
      <c r="U37" s="8"/>
      <c r="AA37" s="7"/>
      <c r="AB37" s="8"/>
      <c r="AH37" s="7"/>
      <c r="AI37" s="8"/>
      <c r="AO37" s="7"/>
      <c r="AP37" s="8"/>
      <c r="AV37" s="7"/>
      <c r="AW37" s="8"/>
      <c r="AX37" s="45"/>
    </row>
    <row r="38" spans="1:51" x14ac:dyDescent="0.4">
      <c r="A38" s="6"/>
      <c r="B38" s="46">
        <f>nextId(curtAddr())</f>
        <v>30</v>
      </c>
      <c r="C38" s="46" t="s">
        <v>14</v>
      </c>
      <c r="D38" s="46" t="s">
        <v>15</v>
      </c>
      <c r="E38" s="96">
        <f t="shared" si="1"/>
        <v>42563</v>
      </c>
      <c r="F38" s="77">
        <v>1</v>
      </c>
      <c r="G38" s="77">
        <v>1</v>
      </c>
      <c r="H38" s="96">
        <f t="shared" si="0"/>
        <v>42563</v>
      </c>
      <c r="I38" s="87" t="s">
        <v>67</v>
      </c>
      <c r="M38" s="7"/>
      <c r="N38" s="8"/>
      <c r="T38" s="7"/>
      <c r="U38" s="8"/>
      <c r="AA38" s="7"/>
      <c r="AB38" s="8"/>
      <c r="AH38" s="7"/>
      <c r="AI38" s="8"/>
      <c r="AO38" s="7"/>
      <c r="AP38" s="8"/>
      <c r="AV38" s="7"/>
      <c r="AW38" s="8"/>
      <c r="AY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disablePrompts="1"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8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2016-06-02T08:58:41Z</dcterms:modified>
  <cp:contentStatus/>
</cp:coreProperties>
</file>