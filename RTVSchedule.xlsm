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1095" yWindow="750" windowWidth="21405" windowHeight="8400"/>
  </bookViews>
  <sheets>
    <sheet name="main" sheetId="1" r:id="rId1"/>
    <sheet name="holiday" sheetId="2" state="hidden" r:id="rId2"/>
    <sheet name="member" sheetId="3" r:id="rId3"/>
  </sheets>
  <functionGroups builtInGroupCount="17"/>
  <definedNames>
    <definedName name="_xlnm.Print_Area" localSheetId="0">main!$B$2:$CU$39</definedName>
    <definedName name="RTVMember0">member!$A$2</definedName>
    <definedName name="RTVMember1">member!$A$3</definedName>
    <definedName name="RTVMember2">member!$A$4</definedName>
    <definedName name="RTVMember3">member!$A$5</definedName>
    <definedName name="RTVMember4">member!$A$6</definedName>
    <definedName name="RTVMember5">member!$A$7</definedName>
    <definedName name="RTVMember6">member!$A$8</definedName>
    <definedName name="RTVMember7">member!$A$9</definedName>
    <definedName name="RTVMember8">member!$A$10</definedName>
    <definedName name="RTVMember9">member!$A$11</definedName>
  </definedNames>
  <calcPr calcId="145621"/>
</workbook>
</file>

<file path=xl/calcChain.xml><?xml version="1.0" encoding="utf-8"?>
<calcChain xmlns="http://schemas.openxmlformats.org/spreadsheetml/2006/main">
  <c r="D9" i="1" l="1"/>
  <c r="D8" i="1"/>
  <c r="D13" i="1" l="1"/>
  <c r="D39" i="1"/>
  <c r="D38" i="1"/>
  <c r="D37" i="1"/>
  <c r="D36" i="1"/>
  <c r="D35" i="1"/>
  <c r="D34" i="1"/>
  <c r="D33" i="1"/>
  <c r="D32" i="1"/>
  <c r="D31" i="1"/>
  <c r="D30" i="1"/>
  <c r="D28" i="1"/>
  <c r="D27" i="1"/>
  <c r="D26" i="1"/>
  <c r="D25" i="1"/>
  <c r="D24" i="1"/>
  <c r="D23" i="1"/>
  <c r="D22" i="1"/>
  <c r="D21" i="1"/>
  <c r="D20" i="1"/>
  <c r="D19" i="1"/>
  <c r="D17" i="1"/>
  <c r="D16" i="1"/>
  <c r="D15" i="1"/>
  <c r="D14" i="1"/>
  <c r="D12" i="1"/>
  <c r="D11" i="1"/>
  <c r="D10" i="1"/>
  <c r="E8" i="1" l="1"/>
  <c r="AA3" i="1" l="1"/>
  <c r="W3" i="1"/>
  <c r="S3" i="1"/>
  <c r="O3" i="1"/>
  <c r="K3" i="1"/>
  <c r="C3" i="1"/>
  <c r="AA2" i="1" l="1"/>
  <c r="W2" i="1"/>
  <c r="S2" i="1"/>
  <c r="O2" i="1"/>
  <c r="K2" i="1"/>
  <c r="H8" i="1"/>
  <c r="B20" i="1"/>
  <c r="E9" i="1"/>
  <c r="B9" i="1"/>
  <c r="B31" i="1"/>
  <c r="B32" i="1"/>
  <c r="B10" i="1"/>
  <c r="H9" i="1"/>
  <c r="E10" i="1" s="1"/>
  <c r="H10" i="1" s="1"/>
  <c r="B21" i="1"/>
  <c r="B11" i="1"/>
  <c r="B12" i="1"/>
  <c r="B13" i="1"/>
  <c r="B33" i="1"/>
  <c r="B34" i="1"/>
  <c r="B22" i="1"/>
  <c r="B14" i="1"/>
  <c r="B15" i="1"/>
  <c r="B35" i="1"/>
  <c r="B36" i="1"/>
  <c r="B23" i="1"/>
  <c r="B24" i="1"/>
  <c r="B37" i="1"/>
  <c r="B38" i="1"/>
  <c r="B39" i="1" s="1"/>
  <c r="B25" i="1"/>
  <c r="B26" i="1"/>
  <c r="B27" i="1"/>
  <c r="B28" i="1"/>
  <c r="B16" i="1"/>
  <c r="B17" i="1" s="1"/>
  <c r="E11" i="1"/>
  <c r="H11" i="1"/>
  <c r="E12" i="1"/>
  <c r="H12" i="1"/>
  <c r="E13" i="1"/>
  <c r="H13" i="1"/>
  <c r="E14" i="1"/>
  <c r="H14" i="1" s="1"/>
  <c r="E15" i="1"/>
  <c r="H15" i="1"/>
  <c r="E16" i="1" s="1"/>
  <c r="H16" i="1" s="1"/>
  <c r="E17" i="1"/>
  <c r="H17" i="1" s="1"/>
  <c r="E19" i="1" s="1"/>
  <c r="H19" i="1"/>
  <c r="E20" i="1"/>
  <c r="H20" i="1"/>
  <c r="E21" i="1"/>
  <c r="H21" i="1"/>
  <c r="E22" i="1"/>
  <c r="H22" i="1" s="1"/>
  <c r="E23" i="1"/>
  <c r="H23" i="1"/>
  <c r="E24" i="1"/>
  <c r="H24" i="1"/>
  <c r="E25" i="1"/>
  <c r="H25" i="1" s="1"/>
  <c r="E26" i="1"/>
  <c r="H26" i="1"/>
  <c r="E27" i="1" s="1"/>
  <c r="H27" i="1" s="1"/>
  <c r="E28" i="1"/>
  <c r="H28" i="1"/>
  <c r="E30" i="1" s="1"/>
  <c r="H30" i="1"/>
  <c r="E31" i="1"/>
  <c r="H31" i="1"/>
  <c r="E32" i="1"/>
  <c r="H32" i="1"/>
  <c r="E33" i="1"/>
  <c r="H33" i="1" s="1"/>
  <c r="E34" i="1"/>
  <c r="H34" i="1"/>
  <c r="E35" i="1"/>
  <c r="H35" i="1"/>
  <c r="E36" i="1"/>
  <c r="H36" i="1" s="1"/>
  <c r="E37" i="1"/>
  <c r="H37" i="1"/>
  <c r="E38" i="1" s="1"/>
  <c r="H38" i="1" s="1"/>
  <c r="E39" i="1"/>
  <c r="H39" i="1" s="1"/>
</calcChain>
</file>

<file path=xl/sharedStrings.xml><?xml version="1.0" encoding="utf-8"?>
<sst xmlns="http://schemas.openxmlformats.org/spreadsheetml/2006/main" count="807" uniqueCount="71">
  <si>
    <t>終了日</t>
  </si>
  <si>
    <t>No.</t>
    <phoneticPr fontId="1"/>
  </si>
  <si>
    <t>タスク</t>
    <phoneticPr fontId="1"/>
  </si>
  <si>
    <t>担当</t>
    <rPh sb="0" eb="2">
      <t>タントウ</t>
    </rPh>
    <phoneticPr fontId="1"/>
  </si>
  <si>
    <t>開始日</t>
    <rPh sb="0" eb="3">
      <t>カイシビ</t>
    </rPh>
    <phoneticPr fontId="1"/>
  </si>
  <si>
    <t>調整日数</t>
    <rPh sb="0" eb="2">
      <t>チョウセイ</t>
    </rPh>
    <rPh sb="2" eb="4">
      <t>ニッスウ</t>
    </rPh>
    <phoneticPr fontId="1"/>
  </si>
  <si>
    <t>終了日</t>
    <rPh sb="0" eb="3">
      <t>シュウリョウビ</t>
    </rPh>
    <phoneticPr fontId="1"/>
  </si>
  <si>
    <t>修正</t>
    <rPh sb="0" eb="2">
      <t>シュウセイ</t>
    </rPh>
    <phoneticPr fontId="1"/>
  </si>
  <si>
    <t>確認</t>
    <rPh sb="0" eb="2">
      <t>カクニン</t>
    </rPh>
    <phoneticPr fontId="1"/>
  </si>
  <si>
    <t>確認、認証</t>
    <rPh sb="0" eb="2">
      <t>カクニン</t>
    </rPh>
    <rPh sb="3" eb="5">
      <t>ニンショウ</t>
    </rPh>
    <phoneticPr fontId="1"/>
  </si>
  <si>
    <t>公開</t>
    <rPh sb="0" eb="2">
      <t>コウカイ</t>
    </rPh>
    <phoneticPr fontId="1"/>
  </si>
  <si>
    <t>テストアップ</t>
    <phoneticPr fontId="1"/>
  </si>
  <si>
    <t>備考</t>
    <rPh sb="0" eb="2">
      <t>ビコウ</t>
    </rPh>
    <phoneticPr fontId="1"/>
  </si>
  <si>
    <t>元日</t>
  </si>
  <si>
    <t>火</t>
  </si>
  <si>
    <t>成人の日</t>
  </si>
  <si>
    <t>月</t>
  </si>
  <si>
    <t>建国記念の日</t>
  </si>
  <si>
    <t>春分の日</t>
  </si>
  <si>
    <t>水</t>
  </si>
  <si>
    <t>昭和の日</t>
  </si>
  <si>
    <t>憲法記念日</t>
  </si>
  <si>
    <t>金</t>
  </si>
  <si>
    <t>みどりの日</t>
  </si>
  <si>
    <t>土</t>
  </si>
  <si>
    <t>こどもの日</t>
  </si>
  <si>
    <t>日</t>
  </si>
  <si>
    <t>振替休日</t>
  </si>
  <si>
    <t>海の日</t>
  </si>
  <si>
    <t>敬老の日</t>
  </si>
  <si>
    <t>秋分の日</t>
  </si>
  <si>
    <t>体育の日</t>
  </si>
  <si>
    <t>文化の日</t>
  </si>
  <si>
    <t>勤労感謝の日</t>
  </si>
  <si>
    <t>天皇誕生日</t>
  </si>
  <si>
    <t>木</t>
  </si>
  <si>
    <t>国民の休日</t>
  </si>
  <si>
    <t>山の日</t>
  </si>
  <si>
    <t>更新日</t>
    <rPh sb="0" eb="3">
      <t>コウシンビ</t>
    </rPh>
    <phoneticPr fontId="1"/>
  </si>
  <si>
    <t>内容確認</t>
    <rPh sb="0" eb="2">
      <t>ナイヨウ</t>
    </rPh>
    <rPh sb="2" eb="4">
      <t>カクニン</t>
    </rPh>
    <phoneticPr fontId="1"/>
  </si>
  <si>
    <t>所要日数</t>
    <rPh sb="0" eb="2">
      <t>ショヨウ</t>
    </rPh>
    <rPh sb="2" eb="4">
      <t>ニッスウ</t>
    </rPh>
    <phoneticPr fontId="1"/>
  </si>
  <si>
    <t>開始日</t>
    <phoneticPr fontId="1"/>
  </si>
  <si>
    <t>未着手</t>
  </si>
  <si>
    <t>起案中</t>
  </si>
  <si>
    <t>準備中</t>
  </si>
  <si>
    <t>確認中</t>
  </si>
  <si>
    <t>保留中</t>
  </si>
  <si>
    <t>承認中</t>
  </si>
  <si>
    <t>対応済</t>
  </si>
  <si>
    <t>予期せぬ終了</t>
  </si>
  <si>
    <t>var</t>
    <phoneticPr fontId="1"/>
  </si>
  <si>
    <t>Status</t>
    <phoneticPr fontId="1"/>
  </si>
  <si>
    <t>member1</t>
    <phoneticPr fontId="1"/>
  </si>
  <si>
    <t>TASK</t>
    <phoneticPr fontId="1"/>
  </si>
  <si>
    <t>制作</t>
    <rPh sb="0" eb="2">
      <t>セイサク</t>
    </rPh>
    <phoneticPr fontId="1"/>
  </si>
  <si>
    <t>入稿</t>
    <rPh sb="0" eb="2">
      <t>ニュウコウ</t>
    </rPh>
    <phoneticPr fontId="1"/>
  </si>
  <si>
    <t>スケジュール</t>
    <phoneticPr fontId="1"/>
  </si>
  <si>
    <t>member0</t>
    <phoneticPr fontId="1"/>
  </si>
  <si>
    <t>member3</t>
  </si>
  <si>
    <t>member2</t>
  </si>
  <si>
    <t>member4</t>
  </si>
  <si>
    <t>member5</t>
  </si>
  <si>
    <t>member6</t>
  </si>
  <si>
    <t>member7</t>
  </si>
  <si>
    <t>member8</t>
  </si>
  <si>
    <t>member9</t>
  </si>
  <si>
    <t>member name</t>
    <phoneticPr fontId="1"/>
  </si>
  <si>
    <t>ステータス</t>
    <phoneticPr fontId="1"/>
  </si>
  <si>
    <t>リリース</t>
  </si>
  <si>
    <t>リリース</t>
    <phoneticPr fontId="1"/>
  </si>
  <si>
    <t>対応中</t>
    <rPh sb="0" eb="2">
      <t>タイオウ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</si>
</sst>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aaa"/>
    <numFmt numFmtId="177" formatCode="d"/>
    <numFmt numFmtId="178" formatCode="m"/>
  </numFmts>
  <fonts count="7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b/>
      <sz val="10"/>
      <color theme="1"/>
      <name val="メイリオ"/>
      <family val="3"/>
      <charset val="128"/>
    </font>
    <font>
      <sz val="10"/>
      <color theme="0"/>
      <name val="メイリオ"/>
      <family val="2"/>
      <charset val="128"/>
    </font>
    <font>
      <b/>
      <sz val="10"/>
      <color theme="0"/>
      <name val="メイリオ"/>
      <family val="3"/>
      <charset val="128"/>
    </font>
    <font>
      <sz val="10"/>
      <color theme="0"/>
      <name val="メイリオ"/>
      <family val="3"/>
      <charset val="128"/>
    </font>
    <font>
      <sz val="10"/>
      <color rgb="FF000000"/>
      <name val="メイリオ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rgb="FFFBCAD2"/>
        <bgColor indexed="64"/>
      </patternFill>
    </fill>
    <fill>
      <patternFill patternType="solid">
        <fgColor rgb="FFFDCF9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E2E6"/>
        <bgColor indexed="64"/>
      </patternFill>
    </fill>
    <fill>
      <patternFill patternType="solid">
        <fgColor rgb="FFF2F0D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FDCD5"/>
        <bgColor indexed="64"/>
      </patternFill>
    </fill>
    <fill>
      <patternFill patternType="solid">
        <fgColor rgb="FFA7EDA9"/>
        <bgColor indexed="64"/>
      </patternFill>
    </fill>
    <fill>
      <patternFill patternType="solid">
        <fgColor rgb="FFFFD9A7"/>
        <bgColor indexed="64"/>
      </patternFill>
    </fill>
    <fill>
      <patternFill patternType="solid">
        <fgColor rgb="FFFFACB7"/>
        <bgColor indexed="64"/>
      </patternFill>
    </fill>
    <fill>
      <patternFill patternType="solid">
        <fgColor rgb="FFFEF28B"/>
        <bgColor indexed="64"/>
      </patternFill>
    </fill>
    <fill>
      <patternFill patternType="solid">
        <fgColor rgb="FF9AE7D9"/>
        <bgColor indexed="64"/>
      </patternFill>
    </fill>
  </fills>
  <borders count="5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vertical="top"/>
    </xf>
    <xf numFmtId="14" fontId="0" fillId="0" borderId="0" xfId="0" applyNumberFormat="1">
      <alignment vertical="center"/>
    </xf>
    <xf numFmtId="0" fontId="0" fillId="0" borderId="0" xfId="0" applyFill="1" applyBorder="1" applyAlignment="1">
      <alignment vertical="top"/>
    </xf>
    <xf numFmtId="14" fontId="0" fillId="0" borderId="0" xfId="0" applyNumberFormat="1" applyFill="1" applyBorder="1" applyAlignment="1">
      <alignment vertical="top"/>
    </xf>
    <xf numFmtId="0" fontId="2" fillId="0" borderId="0" xfId="0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14" fontId="0" fillId="4" borderId="1" xfId="0" applyNumberForma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 applyAlignment="1">
      <alignment horizontal="left" vertical="top" indent="1"/>
    </xf>
    <xf numFmtId="0" fontId="3" fillId="5" borderId="2" xfId="0" applyFont="1" applyFill="1" applyBorder="1" applyAlignment="1">
      <alignment vertical="top"/>
    </xf>
    <xf numFmtId="14" fontId="0" fillId="3" borderId="1" xfId="0" applyNumberFormat="1" applyFill="1" applyBorder="1" applyAlignment="1">
      <alignment vertical="top"/>
    </xf>
    <xf numFmtId="14" fontId="0" fillId="0" borderId="1" xfId="0" applyNumberFormat="1" applyBorder="1" applyAlignment="1">
      <alignment vertical="top"/>
    </xf>
    <xf numFmtId="0" fontId="0" fillId="6" borderId="1" xfId="0" applyFill="1" applyBorder="1" applyAlignment="1">
      <alignment vertical="top"/>
    </xf>
    <xf numFmtId="0" fontId="0" fillId="7" borderId="1" xfId="0" applyFill="1" applyBorder="1" applyAlignment="1">
      <alignment vertical="top"/>
    </xf>
    <xf numFmtId="177" fontId="5" fillId="2" borderId="0" xfId="0" applyNumberFormat="1" applyFont="1" applyFill="1" applyBorder="1" applyAlignment="1">
      <alignment horizontal="center" vertical="top"/>
    </xf>
    <xf numFmtId="49" fontId="4" fillId="2" borderId="0" xfId="0" applyNumberFormat="1" applyFont="1" applyFill="1" applyBorder="1" applyAlignment="1">
      <alignment horizontal="center" vertical="top"/>
    </xf>
    <xf numFmtId="0" fontId="0" fillId="8" borderId="3" xfId="0" applyFill="1" applyBorder="1" applyAlignment="1">
      <alignment vertical="top"/>
    </xf>
    <xf numFmtId="14" fontId="0" fillId="6" borderId="1" xfId="0" applyNumberFormat="1" applyFill="1" applyBorder="1" applyAlignment="1">
      <alignment vertical="top"/>
    </xf>
    <xf numFmtId="0" fontId="0" fillId="6" borderId="1" xfId="0" applyFill="1" applyBorder="1" applyAlignment="1">
      <alignment horizontal="left" vertical="top" indent="1"/>
    </xf>
    <xf numFmtId="0" fontId="0" fillId="7" borderId="1" xfId="0" applyFill="1" applyBorder="1" applyAlignment="1">
      <alignment horizontal="left" vertical="top" indent="1"/>
    </xf>
    <xf numFmtId="14" fontId="0" fillId="7" borderId="1" xfId="0" applyNumberFormat="1" applyFill="1" applyBorder="1" applyAlignment="1">
      <alignment vertical="top"/>
    </xf>
    <xf numFmtId="0" fontId="2" fillId="8" borderId="3" xfId="0" applyFont="1" applyFill="1" applyBorder="1" applyAlignment="1">
      <alignment vertical="center"/>
    </xf>
    <xf numFmtId="14" fontId="0" fillId="8" borderId="3" xfId="0" applyNumberFormat="1" applyFill="1" applyBorder="1" applyAlignment="1">
      <alignment vertical="center"/>
    </xf>
    <xf numFmtId="0" fontId="0" fillId="8" borderId="3" xfId="0" applyFill="1" applyBorder="1" applyAlignment="1">
      <alignment vertical="center"/>
    </xf>
    <xf numFmtId="49" fontId="3" fillId="2" borderId="0" xfId="0" applyNumberFormat="1" applyFont="1" applyFill="1" applyBorder="1" applyAlignment="1">
      <alignment horizontal="center" vertical="top"/>
    </xf>
    <xf numFmtId="0" fontId="0" fillId="4" borderId="1" xfId="0" applyFill="1" applyBorder="1" applyAlignment="1">
      <alignment horizontal="center" vertical="top"/>
    </xf>
    <xf numFmtId="0" fontId="0" fillId="3" borderId="1" xfId="0" applyFill="1" applyBorder="1" applyAlignment="1">
      <alignment horizontal="center" vertical="top"/>
    </xf>
    <xf numFmtId="0" fontId="0" fillId="6" borderId="1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2" fillId="8" borderId="3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top"/>
    </xf>
    <xf numFmtId="178" fontId="3" fillId="2" borderId="0" xfId="0" applyNumberFormat="1" applyFont="1" applyFill="1" applyBorder="1" applyAlignment="1">
      <alignment horizontal="center" vertical="top"/>
    </xf>
    <xf numFmtId="176" fontId="3" fillId="2" borderId="0" xfId="0" applyNumberFormat="1" applyFont="1" applyFill="1" applyBorder="1" applyAlignment="1">
      <alignment horizontal="center" vertical="top"/>
    </xf>
    <xf numFmtId="0" fontId="0" fillId="9" borderId="1" xfId="0" applyFill="1" applyBorder="1" applyAlignment="1">
      <alignment vertical="top"/>
    </xf>
    <xf numFmtId="0" fontId="0" fillId="10" borderId="1" xfId="0" applyFill="1" applyBorder="1" applyAlignment="1">
      <alignment vertical="top"/>
    </xf>
    <xf numFmtId="0" fontId="3" fillId="11" borderId="2" xfId="0" applyFont="1" applyFill="1" applyBorder="1" applyAlignment="1">
      <alignment vertical="top"/>
    </xf>
    <xf numFmtId="0" fontId="4" fillId="11" borderId="2" xfId="0" applyFont="1" applyFill="1" applyBorder="1" applyAlignment="1">
      <alignment vertical="top"/>
    </xf>
    <xf numFmtId="0" fontId="3" fillId="11" borderId="2" xfId="0" applyFont="1" applyFill="1" applyBorder="1" applyAlignment="1">
      <alignment horizontal="center" vertical="top"/>
    </xf>
    <xf numFmtId="14" fontId="3" fillId="11" borderId="2" xfId="0" applyNumberFormat="1" applyFont="1" applyFill="1" applyBorder="1" applyAlignment="1">
      <alignment vertical="top"/>
    </xf>
    <xf numFmtId="0" fontId="4" fillId="12" borderId="0" xfId="0" applyFont="1" applyFill="1">
      <alignment vertical="center"/>
    </xf>
    <xf numFmtId="0" fontId="0" fillId="0" borderId="1" xfId="0" applyBorder="1">
      <alignment vertical="center"/>
    </xf>
    <xf numFmtId="0" fontId="0" fillId="13" borderId="1" xfId="0" applyFill="1" applyBorder="1" applyAlignment="1">
      <alignment vertical="top"/>
    </xf>
    <xf numFmtId="0" fontId="0" fillId="13" borderId="1" xfId="0" applyFill="1" applyBorder="1" applyAlignment="1">
      <alignment horizontal="center" vertical="top"/>
    </xf>
    <xf numFmtId="14" fontId="0" fillId="13" borderId="1" xfId="0" applyNumberFormat="1" applyFill="1" applyBorder="1" applyAlignment="1">
      <alignment vertical="top"/>
    </xf>
    <xf numFmtId="0" fontId="0" fillId="14" borderId="1" xfId="0" applyFill="1" applyBorder="1" applyAlignment="1">
      <alignment vertical="top"/>
    </xf>
    <xf numFmtId="0" fontId="0" fillId="14" borderId="1" xfId="0" applyFill="1" applyBorder="1" applyAlignment="1">
      <alignment horizontal="left" vertical="top" indent="1"/>
    </xf>
    <xf numFmtId="0" fontId="0" fillId="14" borderId="1" xfId="0" applyFill="1" applyBorder="1" applyAlignment="1">
      <alignment horizontal="center" vertical="top"/>
    </xf>
    <xf numFmtId="14" fontId="0" fillId="14" borderId="1" xfId="0" applyNumberFormat="1" applyFill="1" applyBorder="1" applyAlignment="1">
      <alignment vertical="top"/>
    </xf>
    <xf numFmtId="0" fontId="0" fillId="15" borderId="1" xfId="0" applyFill="1" applyBorder="1" applyAlignment="1">
      <alignment vertical="top"/>
    </xf>
    <xf numFmtId="0" fontId="0" fillId="15" borderId="1" xfId="0" applyFill="1" applyBorder="1" applyAlignment="1">
      <alignment horizontal="left" vertical="top" indent="1"/>
    </xf>
    <xf numFmtId="0" fontId="0" fillId="15" borderId="1" xfId="0" applyFill="1" applyBorder="1" applyAlignment="1">
      <alignment horizontal="center" vertical="top"/>
    </xf>
    <xf numFmtId="14" fontId="0" fillId="15" borderId="1" xfId="0" applyNumberFormat="1" applyFill="1" applyBorder="1" applyAlignment="1">
      <alignment vertical="top"/>
    </xf>
    <xf numFmtId="0" fontId="0" fillId="16" borderId="1" xfId="0" applyFill="1" applyBorder="1" applyAlignment="1">
      <alignment vertical="top"/>
    </xf>
    <xf numFmtId="0" fontId="0" fillId="16" borderId="1" xfId="0" applyFill="1" applyBorder="1" applyAlignment="1">
      <alignment horizontal="left" vertical="top" indent="1"/>
    </xf>
    <xf numFmtId="0" fontId="0" fillId="16" borderId="1" xfId="0" applyFill="1" applyBorder="1" applyAlignment="1">
      <alignment horizontal="center" vertical="top"/>
    </xf>
    <xf numFmtId="14" fontId="0" fillId="16" borderId="1" xfId="0" applyNumberFormat="1" applyFill="1" applyBorder="1" applyAlignment="1">
      <alignment vertical="top"/>
    </xf>
    <xf numFmtId="0" fontId="0" fillId="17" borderId="1" xfId="0" applyFill="1" applyBorder="1" applyAlignment="1">
      <alignment vertical="top"/>
    </xf>
    <xf numFmtId="0" fontId="0" fillId="17" borderId="1" xfId="0" applyFill="1" applyBorder="1" applyAlignment="1">
      <alignment horizontal="left" vertical="top" indent="1"/>
    </xf>
    <xf numFmtId="0" fontId="0" fillId="17" borderId="1" xfId="0" applyFill="1" applyBorder="1" applyAlignment="1">
      <alignment horizontal="center" vertical="top"/>
    </xf>
    <xf numFmtId="14" fontId="0" fillId="17" borderId="1" xfId="0" applyNumberFormat="1" applyFill="1" applyBorder="1" applyAlignment="1">
      <alignment vertical="top"/>
    </xf>
    <xf numFmtId="0" fontId="0" fillId="18" borderId="1" xfId="0" applyFill="1" applyBorder="1" applyAlignment="1">
      <alignment vertical="top"/>
    </xf>
    <xf numFmtId="0" fontId="0" fillId="18" borderId="1" xfId="0" applyFill="1" applyBorder="1" applyAlignment="1">
      <alignment horizontal="center" vertical="top"/>
    </xf>
    <xf numFmtId="14" fontId="0" fillId="18" borderId="1" xfId="0" applyNumberFormat="1" applyFill="1" applyBorder="1" applyAlignment="1">
      <alignment vertical="top"/>
    </xf>
    <xf numFmtId="14" fontId="0" fillId="0" borderId="1" xfId="0" applyNumberFormat="1" applyFill="1" applyBorder="1" applyAlignment="1">
      <alignment vertical="top"/>
    </xf>
    <xf numFmtId="0" fontId="0" fillId="0" borderId="4" xfId="0" applyFill="1" applyBorder="1">
      <alignment vertical="center"/>
    </xf>
  </cellXfs>
  <cellStyles count="1">
    <cellStyle name="標準" xfId="0" builtinId="0"/>
  </cellStyles>
  <dxfs count="20">
    <dxf>
      <font>
        <color theme="0"/>
      </font>
      <fill>
        <patternFill>
          <bgColor rgb="FF1A1A1A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4D4D4D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ill>
        <patternFill>
          <bgColor rgb="FFFDCF94"/>
        </patternFill>
      </fill>
    </dxf>
    <dxf>
      <fill>
        <patternFill>
          <bgColor rgb="FFC0E2E6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FFD9A7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</dxfs>
  <tableStyles count="0" defaultTableStyle="TableStyleMedium2" defaultPivotStyle="PivotStyleLight16"/>
  <colors>
    <mruColors>
      <color rgb="FF1A1A1A"/>
      <color rgb="FF333333"/>
      <color rgb="FF4D4D4D"/>
      <color rgb="FF666666"/>
      <color rgb="FF808080"/>
      <color rgb="FF999999"/>
      <color rgb="FFB3B3B3"/>
      <color rgb="FFCCCCCC"/>
      <color rgb="FFE6E6E6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0</xdr:row>
          <xdr:rowOff>104775</xdr:rowOff>
        </xdr:from>
        <xdr:to>
          <xdr:col>1</xdr:col>
          <xdr:colOff>28575</xdr:colOff>
          <xdr:row>0</xdr:row>
          <xdr:rowOff>390525</xdr:rowOff>
        </xdr:to>
        <xdr:sp macro="" textlink="">
          <xdr:nvSpPr>
            <xdr:cNvPr id="1025" name="save as xslx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  <a:cs typeface="メイリオ"/>
                </a:rPr>
                <a:t>save as xslx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133350</xdr:colOff>
          <xdr:row>0</xdr:row>
          <xdr:rowOff>104775</xdr:rowOff>
        </xdr:from>
        <xdr:to>
          <xdr:col>2</xdr:col>
          <xdr:colOff>809625</xdr:colOff>
          <xdr:row>0</xdr:row>
          <xdr:rowOff>390525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  <a:cs typeface="メイリオ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Sheet"/>
  <dimension ref="A1:CI39"/>
  <sheetViews>
    <sheetView tabSelected="1" workbookViewId="0">
      <pane xSplit="9" ySplit="6" topLeftCell="AX7" activePane="bottomRight" state="frozen"/>
      <selection pane="topRight" activeCell="J1" sqref="J1"/>
      <selection pane="bottomLeft" activeCell="A7" sqref="A7"/>
      <selection pane="bottomRight" activeCell="F40" sqref="F40"/>
    </sheetView>
  </sheetViews>
  <sheetFormatPr defaultColWidth="8.25" defaultRowHeight="16.5" x14ac:dyDescent="0.4"/>
  <cols>
    <col min="1" max="1" width="12.5" style="2" customWidth="1"/>
    <col min="2" max="2" width="3.75" style="2" customWidth="1"/>
    <col min="3" max="3" width="13" style="2" bestFit="1" customWidth="1"/>
    <col min="4" max="4" width="9.125" style="31" bestFit="1" customWidth="1"/>
    <col min="5" max="5" width="10.5" style="13" customWidth="1"/>
    <col min="6" max="6" width="8.25" style="2" bestFit="1" customWidth="1"/>
    <col min="7" max="7" width="8.25" style="2"/>
    <col min="8" max="8" width="10.5" style="13" customWidth="1"/>
    <col min="9" max="9" width="11.375" style="13" bestFit="1" customWidth="1"/>
    <col min="10" max="282" width="3" style="1" customWidth="1"/>
    <col min="283" max="16384" width="8.25" style="1"/>
  </cols>
  <sheetData>
    <row r="1" spans="1:87" s="18" customFormat="1" ht="37.5" customHeight="1" thickBot="1" x14ac:dyDescent="0.45">
      <c r="D1" s="32" t="s">
        <v>41</v>
      </c>
      <c r="E1" s="24">
        <v>42017</v>
      </c>
      <c r="F1" s="25"/>
      <c r="G1" s="23" t="s">
        <v>0</v>
      </c>
      <c r="H1" s="24">
        <v>42094</v>
      </c>
      <c r="I1" s="24"/>
    </row>
    <row r="2" spans="1:87" s="4" customFormat="1" x14ac:dyDescent="0.4">
      <c r="B2" s="6" t="s">
        <v>56</v>
      </c>
      <c r="D2" s="33"/>
      <c r="E2" s="5"/>
      <c r="H2" s="5"/>
      <c r="I2" s="5"/>
      <c r="K2" s="4" t="str">
        <f>RTVMember0</f>
        <v>member0</v>
      </c>
      <c r="O2" s="4" t="str">
        <f>RTVMember1</f>
        <v>member1</v>
      </c>
      <c r="S2" s="4" t="str">
        <f>RTVMember2</f>
        <v>member2</v>
      </c>
      <c r="W2" s="4" t="str">
        <f>RTVMember3</f>
        <v>member3</v>
      </c>
      <c r="AA2" s="4" t="str">
        <f>RTVMember4</f>
        <v>member4</v>
      </c>
    </row>
    <row r="3" spans="1:87" s="4" customFormat="1" x14ac:dyDescent="0.4">
      <c r="B3" s="4" t="s">
        <v>38</v>
      </c>
      <c r="C3" s="5">
        <f ca="1">TODAY()</f>
        <v>42212</v>
      </c>
      <c r="D3" s="33"/>
      <c r="E3" s="5"/>
      <c r="H3" s="5"/>
      <c r="I3" s="5"/>
      <c r="J3" s="5"/>
      <c r="K3" s="4" t="str">
        <f>RTVMember5</f>
        <v>member5</v>
      </c>
      <c r="O3" s="4" t="str">
        <f>RTVMember6</f>
        <v>member6</v>
      </c>
      <c r="S3" s="4" t="str">
        <f>RTVMember7</f>
        <v>member7</v>
      </c>
      <c r="W3" s="4" t="str">
        <f>RTVMember8</f>
        <v>member8</v>
      </c>
      <c r="AA3" s="4" t="str">
        <f>RTVMember9</f>
        <v>member9</v>
      </c>
    </row>
    <row r="4" spans="1:87" s="34" customFormat="1" x14ac:dyDescent="0.4">
      <c r="A4" s="26"/>
      <c r="B4" s="26"/>
      <c r="C4" s="26"/>
      <c r="D4" s="26"/>
      <c r="E4" s="26"/>
      <c r="F4" s="26"/>
      <c r="G4" s="26"/>
      <c r="H4" s="26"/>
      <c r="I4" s="26"/>
      <c r="J4" s="34">
        <v>42017</v>
      </c>
      <c r="AC4" s="34">
        <v>42036</v>
      </c>
      <c r="BE4" s="34">
        <v>42064</v>
      </c>
    </row>
    <row r="5" spans="1:87" s="16" customFormat="1" x14ac:dyDescent="0.4">
      <c r="A5" s="17" t="s">
        <v>12</v>
      </c>
      <c r="B5" s="17" t="s">
        <v>1</v>
      </c>
      <c r="C5" s="17" t="s">
        <v>2</v>
      </c>
      <c r="D5" s="17" t="s">
        <v>3</v>
      </c>
      <c r="E5" s="17" t="s">
        <v>4</v>
      </c>
      <c r="F5" s="17" t="s">
        <v>40</v>
      </c>
      <c r="G5" s="17" t="s">
        <v>5</v>
      </c>
      <c r="H5" s="17" t="s">
        <v>6</v>
      </c>
      <c r="I5" s="17" t="s">
        <v>67</v>
      </c>
      <c r="J5" s="16">
        <v>42017</v>
      </c>
      <c r="K5" s="16">
        <v>42018</v>
      </c>
      <c r="L5" s="16">
        <v>42019</v>
      </c>
      <c r="M5" s="16">
        <v>42020</v>
      </c>
      <c r="N5" s="16">
        <v>42021</v>
      </c>
      <c r="O5" s="16">
        <v>42022</v>
      </c>
      <c r="P5" s="16">
        <v>42023</v>
      </c>
      <c r="Q5" s="16">
        <v>42024</v>
      </c>
      <c r="R5" s="16">
        <v>42025</v>
      </c>
      <c r="S5" s="16">
        <v>42026</v>
      </c>
      <c r="T5" s="16">
        <v>42027</v>
      </c>
      <c r="U5" s="16">
        <v>42028</v>
      </c>
      <c r="V5" s="16">
        <v>42029</v>
      </c>
      <c r="W5" s="16">
        <v>42030</v>
      </c>
      <c r="X5" s="16">
        <v>42031</v>
      </c>
      <c r="Y5" s="16">
        <v>42032</v>
      </c>
      <c r="Z5" s="16">
        <v>42033</v>
      </c>
      <c r="AA5" s="16">
        <v>42034</v>
      </c>
      <c r="AB5" s="16">
        <v>42035</v>
      </c>
      <c r="AC5" s="16">
        <v>42036</v>
      </c>
      <c r="AD5" s="16">
        <v>42037</v>
      </c>
      <c r="AE5" s="16">
        <v>42038</v>
      </c>
      <c r="AF5" s="16">
        <v>42039</v>
      </c>
      <c r="AG5" s="16">
        <v>42040</v>
      </c>
      <c r="AH5" s="16">
        <v>42041</v>
      </c>
      <c r="AI5" s="16">
        <v>42042</v>
      </c>
      <c r="AJ5" s="16">
        <v>42043</v>
      </c>
      <c r="AK5" s="16">
        <v>42044</v>
      </c>
      <c r="AL5" s="16">
        <v>42045</v>
      </c>
      <c r="AM5" s="16">
        <v>42046</v>
      </c>
      <c r="AN5" s="16">
        <v>42047</v>
      </c>
      <c r="AO5" s="16">
        <v>42048</v>
      </c>
      <c r="AP5" s="16">
        <v>42049</v>
      </c>
      <c r="AQ5" s="16">
        <v>42050</v>
      </c>
      <c r="AR5" s="16">
        <v>42051</v>
      </c>
      <c r="AS5" s="16">
        <v>42052</v>
      </c>
      <c r="AT5" s="16">
        <v>42053</v>
      </c>
      <c r="AU5" s="16">
        <v>42054</v>
      </c>
      <c r="AV5" s="16">
        <v>42055</v>
      </c>
      <c r="AW5" s="16">
        <v>42056</v>
      </c>
      <c r="AX5" s="16">
        <v>42057</v>
      </c>
      <c r="AY5" s="16">
        <v>42058</v>
      </c>
      <c r="AZ5" s="16">
        <v>42059</v>
      </c>
      <c r="BA5" s="16">
        <v>42060</v>
      </c>
      <c r="BB5" s="16">
        <v>42061</v>
      </c>
      <c r="BC5" s="16">
        <v>42062</v>
      </c>
      <c r="BD5" s="16">
        <v>42063</v>
      </c>
      <c r="BE5" s="16">
        <v>42064</v>
      </c>
      <c r="BF5" s="16">
        <v>42065</v>
      </c>
      <c r="BG5" s="16">
        <v>42066</v>
      </c>
      <c r="BH5" s="16">
        <v>42067</v>
      </c>
      <c r="BI5" s="16">
        <v>42068</v>
      </c>
      <c r="BJ5" s="16">
        <v>42069</v>
      </c>
      <c r="BK5" s="16">
        <v>42070</v>
      </c>
      <c r="BL5" s="16">
        <v>42071</v>
      </c>
      <c r="BM5" s="16">
        <v>42072</v>
      </c>
      <c r="BN5" s="16">
        <v>42073</v>
      </c>
      <c r="BO5" s="16">
        <v>42074</v>
      </c>
      <c r="BP5" s="16">
        <v>42075</v>
      </c>
      <c r="BQ5" s="16">
        <v>42076</v>
      </c>
      <c r="BR5" s="16">
        <v>42077</v>
      </c>
      <c r="BS5" s="16">
        <v>42078</v>
      </c>
      <c r="BT5" s="16">
        <v>42079</v>
      </c>
      <c r="BU5" s="16">
        <v>42080</v>
      </c>
      <c r="BV5" s="16">
        <v>42081</v>
      </c>
      <c r="BW5" s="16">
        <v>42082</v>
      </c>
      <c r="BX5" s="16">
        <v>42083</v>
      </c>
      <c r="BY5" s="16">
        <v>42084</v>
      </c>
      <c r="BZ5" s="16">
        <v>42085</v>
      </c>
      <c r="CA5" s="16">
        <v>42086</v>
      </c>
      <c r="CB5" s="16">
        <v>42087</v>
      </c>
      <c r="CC5" s="16">
        <v>42088</v>
      </c>
      <c r="CD5" s="16">
        <v>42089</v>
      </c>
      <c r="CE5" s="16">
        <v>42090</v>
      </c>
      <c r="CF5" s="16">
        <v>42091</v>
      </c>
      <c r="CG5" s="16">
        <v>42092</v>
      </c>
      <c r="CH5" s="16">
        <v>42093</v>
      </c>
      <c r="CI5" s="16">
        <v>42094</v>
      </c>
    </row>
    <row r="6" spans="1:87" s="35" customFormat="1" x14ac:dyDescent="0.4">
      <c r="A6" s="26"/>
      <c r="B6" s="26"/>
      <c r="C6" s="26"/>
      <c r="D6" s="26"/>
      <c r="E6" s="26"/>
      <c r="F6" s="26"/>
      <c r="G6" s="26"/>
      <c r="H6" s="26"/>
      <c r="I6" s="26"/>
      <c r="J6" s="35">
        <v>42017</v>
      </c>
      <c r="K6" s="35">
        <v>42018</v>
      </c>
      <c r="L6" s="35">
        <v>42019</v>
      </c>
      <c r="M6" s="35">
        <v>42020</v>
      </c>
      <c r="N6" s="35">
        <v>42021</v>
      </c>
      <c r="O6" s="35">
        <v>42022</v>
      </c>
      <c r="P6" s="35">
        <v>42023</v>
      </c>
      <c r="Q6" s="35">
        <v>42024</v>
      </c>
      <c r="R6" s="35">
        <v>42025</v>
      </c>
      <c r="S6" s="35">
        <v>42026</v>
      </c>
      <c r="T6" s="35">
        <v>42027</v>
      </c>
      <c r="U6" s="35">
        <v>42028</v>
      </c>
      <c r="V6" s="35">
        <v>42029</v>
      </c>
      <c r="W6" s="35">
        <v>42030</v>
      </c>
      <c r="X6" s="35">
        <v>42031</v>
      </c>
      <c r="Y6" s="35">
        <v>42032</v>
      </c>
      <c r="Z6" s="35">
        <v>42033</v>
      </c>
      <c r="AA6" s="35">
        <v>42034</v>
      </c>
      <c r="AB6" s="35">
        <v>42035</v>
      </c>
      <c r="AC6" s="35">
        <v>42036</v>
      </c>
      <c r="AD6" s="35">
        <v>42037</v>
      </c>
      <c r="AE6" s="35">
        <v>42038</v>
      </c>
      <c r="AF6" s="35">
        <v>42039</v>
      </c>
      <c r="AG6" s="35">
        <v>42040</v>
      </c>
      <c r="AH6" s="35">
        <v>42041</v>
      </c>
      <c r="AI6" s="35">
        <v>42042</v>
      </c>
      <c r="AJ6" s="35">
        <v>42043</v>
      </c>
      <c r="AK6" s="35">
        <v>42044</v>
      </c>
      <c r="AL6" s="35">
        <v>42045</v>
      </c>
      <c r="AM6" s="35">
        <v>42046</v>
      </c>
      <c r="AN6" s="35">
        <v>42047</v>
      </c>
      <c r="AO6" s="35">
        <v>42048</v>
      </c>
      <c r="AP6" s="35">
        <v>42049</v>
      </c>
      <c r="AQ6" s="35">
        <v>42050</v>
      </c>
      <c r="AR6" s="35">
        <v>42051</v>
      </c>
      <c r="AS6" s="35">
        <v>42052</v>
      </c>
      <c r="AT6" s="35">
        <v>42053</v>
      </c>
      <c r="AU6" s="35">
        <v>42054</v>
      </c>
      <c r="AV6" s="35">
        <v>42055</v>
      </c>
      <c r="AW6" s="35">
        <v>42056</v>
      </c>
      <c r="AX6" s="35">
        <v>42057</v>
      </c>
      <c r="AY6" s="35">
        <v>42058</v>
      </c>
      <c r="AZ6" s="35">
        <v>42059</v>
      </c>
      <c r="BA6" s="35">
        <v>42060</v>
      </c>
      <c r="BB6" s="35">
        <v>42061</v>
      </c>
      <c r="BC6" s="35">
        <v>42062</v>
      </c>
      <c r="BD6" s="35">
        <v>42063</v>
      </c>
      <c r="BE6" s="35">
        <v>42064</v>
      </c>
      <c r="BF6" s="35">
        <v>42065</v>
      </c>
      <c r="BG6" s="35">
        <v>42066</v>
      </c>
      <c r="BH6" s="35">
        <v>42067</v>
      </c>
      <c r="BI6" s="35">
        <v>42068</v>
      </c>
      <c r="BJ6" s="35">
        <v>42069</v>
      </c>
      <c r="BK6" s="35">
        <v>42070</v>
      </c>
      <c r="BL6" s="35">
        <v>42071</v>
      </c>
      <c r="BM6" s="35">
        <v>42072</v>
      </c>
      <c r="BN6" s="35">
        <v>42073</v>
      </c>
      <c r="BO6" s="35">
        <v>42074</v>
      </c>
      <c r="BP6" s="35">
        <v>42075</v>
      </c>
      <c r="BQ6" s="35">
        <v>42076</v>
      </c>
      <c r="BR6" s="35">
        <v>42077</v>
      </c>
      <c r="BS6" s="35">
        <v>42078</v>
      </c>
      <c r="BT6" s="35">
        <v>42079</v>
      </c>
      <c r="BU6" s="35">
        <v>42080</v>
      </c>
      <c r="BV6" s="35">
        <v>42081</v>
      </c>
      <c r="BW6" s="35">
        <v>42082</v>
      </c>
      <c r="BX6" s="35">
        <v>42083</v>
      </c>
      <c r="BY6" s="35">
        <v>42084</v>
      </c>
      <c r="BZ6" s="35">
        <v>42085</v>
      </c>
      <c r="CA6" s="35">
        <v>42086</v>
      </c>
      <c r="CB6" s="35">
        <v>42087</v>
      </c>
      <c r="CC6" s="35">
        <v>42088</v>
      </c>
      <c r="CD6" s="35">
        <v>42089</v>
      </c>
      <c r="CE6" s="35">
        <v>42090</v>
      </c>
      <c r="CF6" s="35">
        <v>42091</v>
      </c>
      <c r="CG6" s="35">
        <v>42092</v>
      </c>
      <c r="CH6" s="35">
        <v>42093</v>
      </c>
      <c r="CI6" s="35">
        <v>42094</v>
      </c>
    </row>
    <row r="7" spans="1:87" s="38" customFormat="1" x14ac:dyDescent="0.4">
      <c r="A7" s="11"/>
      <c r="C7" s="39" t="s">
        <v>53</v>
      </c>
      <c r="D7" s="40"/>
      <c r="E7" s="41"/>
      <c r="H7" s="41"/>
      <c r="I7" s="41"/>
    </row>
    <row r="8" spans="1:87" x14ac:dyDescent="0.4">
      <c r="A8" s="1"/>
      <c r="B8" s="7">
        <v>1</v>
      </c>
      <c r="C8" s="7" t="s">
        <v>55</v>
      </c>
      <c r="D8" s="27" t="str">
        <f>RTVMember0</f>
        <v>member0</v>
      </c>
      <c r="E8" s="8">
        <f>E1</f>
        <v>42017</v>
      </c>
      <c r="F8" s="7">
        <v>1</v>
      </c>
      <c r="G8" s="7">
        <v>1</v>
      </c>
      <c r="H8" s="8">
        <f>getEndDay()</f>
        <v>42017</v>
      </c>
      <c r="I8" s="66" t="s">
        <v>42</v>
      </c>
      <c r="J8" s="7"/>
      <c r="N8" s="37"/>
      <c r="O8" s="36"/>
      <c r="U8" s="37"/>
      <c r="V8" s="36"/>
      <c r="AB8" s="37"/>
      <c r="AC8" s="36"/>
      <c r="AI8" s="37"/>
      <c r="AJ8" s="36"/>
      <c r="AM8" s="36"/>
      <c r="AP8" s="37"/>
      <c r="AQ8" s="36"/>
      <c r="AW8" s="37"/>
      <c r="AX8" s="36"/>
      <c r="BD8" s="37"/>
      <c r="BE8" s="36"/>
      <c r="BK8" s="37"/>
      <c r="BL8" s="36"/>
      <c r="BR8" s="37"/>
      <c r="BS8" s="36"/>
      <c r="BY8" s="36"/>
      <c r="BZ8" s="36"/>
      <c r="CF8" s="37"/>
      <c r="CG8" s="36"/>
    </row>
    <row r="9" spans="1:87" x14ac:dyDescent="0.4">
      <c r="B9" s="14">
        <f>getTaskNumber(curt())</f>
        <v>2</v>
      </c>
      <c r="C9" s="20" t="s">
        <v>39</v>
      </c>
      <c r="D9" s="29" t="str">
        <f>RTVMember1</f>
        <v>member1</v>
      </c>
      <c r="E9" s="19">
        <f t="shared" ref="E9:E39" si="0">getStartDay()</f>
        <v>42018</v>
      </c>
      <c r="F9" s="14">
        <v>1</v>
      </c>
      <c r="G9" s="14">
        <v>1</v>
      </c>
      <c r="H9" s="19">
        <f t="shared" ref="H9:H17" si="1">getEndDay()</f>
        <v>42018</v>
      </c>
      <c r="I9" s="66" t="s">
        <v>43</v>
      </c>
      <c r="K9" s="14"/>
      <c r="N9" s="37"/>
      <c r="O9" s="36"/>
      <c r="U9" s="37"/>
      <c r="V9" s="36"/>
      <c r="AB9" s="37"/>
      <c r="AC9" s="36"/>
      <c r="AI9" s="37"/>
      <c r="AJ9" s="36"/>
      <c r="AM9" s="36"/>
      <c r="AP9" s="37"/>
      <c r="AQ9" s="36"/>
      <c r="AW9" s="37"/>
      <c r="AX9" s="36"/>
      <c r="BD9" s="37"/>
      <c r="BE9" s="36"/>
      <c r="BK9" s="37"/>
      <c r="BL9" s="36"/>
      <c r="BR9" s="37"/>
      <c r="BS9" s="36"/>
      <c r="BY9" s="36"/>
      <c r="BZ9" s="36"/>
      <c r="CF9" s="37"/>
      <c r="CG9" s="36"/>
    </row>
    <row r="10" spans="1:87" x14ac:dyDescent="0.4">
      <c r="B10" s="44">
        <f>getTaskNumber(curt())</f>
        <v>3</v>
      </c>
      <c r="C10" s="44" t="s">
        <v>54</v>
      </c>
      <c r="D10" s="45" t="str">
        <f>RTVMember2</f>
        <v>member2</v>
      </c>
      <c r="E10" s="46">
        <f t="shared" si="0"/>
        <v>42019</v>
      </c>
      <c r="F10" s="44">
        <v>1</v>
      </c>
      <c r="G10" s="44">
        <v>1</v>
      </c>
      <c r="H10" s="46">
        <f t="shared" si="1"/>
        <v>42019</v>
      </c>
      <c r="I10" s="66" t="s">
        <v>44</v>
      </c>
      <c r="L10" s="44"/>
      <c r="N10" s="37"/>
      <c r="O10" s="36"/>
      <c r="U10" s="37"/>
      <c r="V10" s="36"/>
      <c r="AB10" s="37"/>
      <c r="AC10" s="36"/>
      <c r="AI10" s="37"/>
      <c r="AJ10" s="36"/>
      <c r="AM10" s="36"/>
      <c r="AP10" s="37"/>
      <c r="AQ10" s="36"/>
      <c r="AW10" s="37"/>
      <c r="AX10" s="36"/>
      <c r="BD10" s="37"/>
      <c r="BE10" s="36"/>
      <c r="BK10" s="37"/>
      <c r="BL10" s="36"/>
      <c r="BR10" s="37"/>
      <c r="BS10" s="36"/>
      <c r="BY10" s="36"/>
      <c r="BZ10" s="36"/>
      <c r="CF10" s="37"/>
      <c r="CG10" s="36"/>
    </row>
    <row r="11" spans="1:87" x14ac:dyDescent="0.4">
      <c r="B11" s="15">
        <f>getTaskNumber(curt())</f>
        <v>4</v>
      </c>
      <c r="C11" s="21" t="s">
        <v>11</v>
      </c>
      <c r="D11" s="30" t="str">
        <f>RTVMember3</f>
        <v>member3</v>
      </c>
      <c r="E11" s="22">
        <f t="shared" si="0"/>
        <v>42020</v>
      </c>
      <c r="F11" s="15">
        <v>1</v>
      </c>
      <c r="G11" s="15">
        <v>1</v>
      </c>
      <c r="H11" s="22">
        <f t="shared" si="1"/>
        <v>42020</v>
      </c>
      <c r="I11" s="66" t="s">
        <v>70</v>
      </c>
      <c r="M11" s="15"/>
      <c r="N11" s="37"/>
      <c r="O11" s="36"/>
      <c r="U11" s="37"/>
      <c r="V11" s="36"/>
      <c r="AB11" s="37"/>
      <c r="AC11" s="36"/>
      <c r="AI11" s="37"/>
      <c r="AJ11" s="36"/>
      <c r="AM11" s="36"/>
      <c r="AP11" s="37"/>
      <c r="AQ11" s="36"/>
      <c r="AW11" s="37"/>
      <c r="AX11" s="36"/>
      <c r="BD11" s="37"/>
      <c r="BE11" s="36"/>
      <c r="BK11" s="37"/>
      <c r="BL11" s="36"/>
      <c r="BR11" s="37"/>
      <c r="BS11" s="36"/>
      <c r="BY11" s="36"/>
      <c r="BZ11" s="36"/>
      <c r="CF11" s="37"/>
      <c r="CG11" s="36"/>
    </row>
    <row r="12" spans="1:87" x14ac:dyDescent="0.4">
      <c r="B12" s="9">
        <f>getTaskNumber(curt())</f>
        <v>5</v>
      </c>
      <c r="C12" s="10" t="s">
        <v>8</v>
      </c>
      <c r="D12" s="28" t="str">
        <f>RTVMember4</f>
        <v>member4</v>
      </c>
      <c r="E12" s="12">
        <f t="shared" si="0"/>
        <v>42023</v>
      </c>
      <c r="F12" s="9">
        <v>1</v>
      </c>
      <c r="G12" s="9">
        <v>1</v>
      </c>
      <c r="H12" s="12">
        <f t="shared" si="1"/>
        <v>42023</v>
      </c>
      <c r="I12" s="66" t="s">
        <v>45</v>
      </c>
      <c r="N12" s="37"/>
      <c r="O12" s="36"/>
      <c r="P12" s="9"/>
      <c r="U12" s="37"/>
      <c r="V12" s="36"/>
      <c r="AB12" s="37"/>
      <c r="AC12" s="36"/>
      <c r="AI12" s="37"/>
      <c r="AJ12" s="36"/>
      <c r="AM12" s="36"/>
      <c r="AP12" s="37"/>
      <c r="AQ12" s="36"/>
      <c r="AW12" s="37"/>
      <c r="AX12" s="36"/>
      <c r="BD12" s="37"/>
      <c r="BE12" s="36"/>
      <c r="BK12" s="37"/>
      <c r="BL12" s="36"/>
      <c r="BR12" s="37"/>
      <c r="BS12" s="36"/>
      <c r="BY12" s="36"/>
      <c r="BZ12" s="36"/>
      <c r="CF12" s="37"/>
      <c r="CG12" s="36"/>
    </row>
    <row r="13" spans="1:87" x14ac:dyDescent="0.4">
      <c r="B13" s="47">
        <f>getTaskNumber(curt())</f>
        <v>6</v>
      </c>
      <c r="C13" s="48" t="s">
        <v>7</v>
      </c>
      <c r="D13" s="49" t="str">
        <f>RTVMember5</f>
        <v>member5</v>
      </c>
      <c r="E13" s="50">
        <f t="shared" si="0"/>
        <v>42024</v>
      </c>
      <c r="F13" s="47">
        <v>1</v>
      </c>
      <c r="G13" s="47">
        <v>1</v>
      </c>
      <c r="H13" s="50">
        <f t="shared" si="1"/>
        <v>42024</v>
      </c>
      <c r="I13" s="66" t="s">
        <v>46</v>
      </c>
      <c r="N13" s="37"/>
      <c r="O13" s="36"/>
      <c r="Q13" s="47"/>
      <c r="U13" s="37"/>
      <c r="V13" s="36"/>
      <c r="AB13" s="37"/>
      <c r="AC13" s="36"/>
      <c r="AI13" s="37"/>
      <c r="AJ13" s="36"/>
      <c r="AM13" s="36"/>
      <c r="AP13" s="37"/>
      <c r="AQ13" s="36"/>
      <c r="AW13" s="37"/>
      <c r="AX13" s="36"/>
      <c r="BD13" s="37"/>
      <c r="BE13" s="36"/>
      <c r="BK13" s="37"/>
      <c r="BL13" s="36"/>
      <c r="BR13" s="37"/>
      <c r="BS13" s="36"/>
      <c r="BY13" s="36"/>
      <c r="BZ13" s="36"/>
      <c r="CF13" s="37"/>
      <c r="CG13" s="36"/>
    </row>
    <row r="14" spans="1:87" x14ac:dyDescent="0.4">
      <c r="B14" s="51">
        <f>getTaskNumber(curt())</f>
        <v>7</v>
      </c>
      <c r="C14" s="52" t="s">
        <v>8</v>
      </c>
      <c r="D14" s="53" t="str">
        <f>RTVMember6</f>
        <v>member6</v>
      </c>
      <c r="E14" s="54">
        <f t="shared" si="0"/>
        <v>42025</v>
      </c>
      <c r="F14" s="51">
        <v>1</v>
      </c>
      <c r="G14" s="51">
        <v>1</v>
      </c>
      <c r="H14" s="54">
        <f t="shared" si="1"/>
        <v>42025</v>
      </c>
      <c r="I14" s="66" t="s">
        <v>47</v>
      </c>
      <c r="N14" s="37"/>
      <c r="O14" s="36"/>
      <c r="R14" s="51"/>
      <c r="U14" s="37"/>
      <c r="V14" s="36"/>
      <c r="AB14" s="37"/>
      <c r="AC14" s="36"/>
      <c r="AI14" s="37"/>
      <c r="AJ14" s="36"/>
      <c r="AM14" s="36"/>
      <c r="AP14" s="37"/>
      <c r="AQ14" s="36"/>
      <c r="AW14" s="37"/>
      <c r="AX14" s="36"/>
      <c r="BD14" s="37"/>
      <c r="BE14" s="36"/>
      <c r="BK14" s="37"/>
      <c r="BL14" s="36"/>
      <c r="BR14" s="37"/>
      <c r="BS14" s="36"/>
      <c r="BY14" s="36"/>
      <c r="BZ14" s="36"/>
      <c r="CF14" s="37"/>
      <c r="CG14" s="36"/>
    </row>
    <row r="15" spans="1:87" x14ac:dyDescent="0.4">
      <c r="B15" s="55">
        <f>getTaskNumber(curt())</f>
        <v>8</v>
      </c>
      <c r="C15" s="56" t="s">
        <v>7</v>
      </c>
      <c r="D15" s="57" t="str">
        <f>RTVMember7</f>
        <v>member7</v>
      </c>
      <c r="E15" s="58">
        <f t="shared" si="0"/>
        <v>42026</v>
      </c>
      <c r="F15" s="55">
        <v>1</v>
      </c>
      <c r="G15" s="55">
        <v>1</v>
      </c>
      <c r="H15" s="58">
        <f t="shared" si="1"/>
        <v>42026</v>
      </c>
      <c r="I15" s="66" t="s">
        <v>48</v>
      </c>
      <c r="N15" s="37"/>
      <c r="O15" s="36"/>
      <c r="S15" s="55"/>
      <c r="U15" s="37"/>
      <c r="V15" s="36"/>
      <c r="AB15" s="37"/>
      <c r="AC15" s="36"/>
      <c r="AI15" s="37"/>
      <c r="AJ15" s="36"/>
      <c r="AM15" s="36"/>
      <c r="AP15" s="37"/>
      <c r="AQ15" s="36"/>
      <c r="AW15" s="37"/>
      <c r="AX15" s="36"/>
      <c r="BD15" s="37"/>
      <c r="BE15" s="36"/>
      <c r="BK15" s="37"/>
      <c r="BL15" s="36"/>
      <c r="BR15" s="37"/>
      <c r="BS15" s="36"/>
      <c r="BY15" s="36"/>
      <c r="BZ15" s="36"/>
      <c r="CF15" s="37"/>
      <c r="CG15" s="36"/>
    </row>
    <row r="16" spans="1:87" x14ac:dyDescent="0.4">
      <c r="B16" s="59">
        <f>getTaskNumber(curt())</f>
        <v>9</v>
      </c>
      <c r="C16" s="60" t="s">
        <v>9</v>
      </c>
      <c r="D16" s="61" t="str">
        <f>RTVMember8</f>
        <v>member8</v>
      </c>
      <c r="E16" s="62">
        <f t="shared" si="0"/>
        <v>42027</v>
      </c>
      <c r="F16" s="59">
        <v>1</v>
      </c>
      <c r="G16" s="59">
        <v>1</v>
      </c>
      <c r="H16" s="62">
        <f t="shared" si="1"/>
        <v>42027</v>
      </c>
      <c r="I16" s="66" t="s">
        <v>68</v>
      </c>
      <c r="N16" s="37"/>
      <c r="O16" s="36"/>
      <c r="T16" s="59"/>
      <c r="U16" s="37"/>
      <c r="V16" s="36"/>
      <c r="AB16" s="37"/>
      <c r="AC16" s="36"/>
      <c r="AI16" s="37"/>
      <c r="AJ16" s="36"/>
      <c r="AM16" s="36"/>
      <c r="AP16" s="37"/>
      <c r="AQ16" s="36"/>
      <c r="AW16" s="37"/>
      <c r="AX16" s="36"/>
      <c r="BD16" s="37"/>
      <c r="BE16" s="36"/>
      <c r="BK16" s="37"/>
      <c r="BL16" s="36"/>
      <c r="BR16" s="37"/>
      <c r="BS16" s="36"/>
      <c r="BY16" s="36"/>
      <c r="BZ16" s="36"/>
      <c r="CF16" s="37"/>
      <c r="CG16" s="36"/>
    </row>
    <row r="17" spans="1:85" x14ac:dyDescent="0.4">
      <c r="B17" s="63">
        <f>getTaskNumber(curt())</f>
        <v>10</v>
      </c>
      <c r="C17" s="63" t="s">
        <v>10</v>
      </c>
      <c r="D17" s="64" t="str">
        <f>RTVMember9</f>
        <v>member9</v>
      </c>
      <c r="E17" s="65">
        <f t="shared" si="0"/>
        <v>42030</v>
      </c>
      <c r="F17" s="63">
        <v>1</v>
      </c>
      <c r="G17" s="63">
        <v>1</v>
      </c>
      <c r="H17" s="65">
        <f t="shared" si="1"/>
        <v>42030</v>
      </c>
      <c r="I17" s="66" t="s">
        <v>49</v>
      </c>
      <c r="N17" s="37"/>
      <c r="O17" s="36"/>
      <c r="U17" s="37"/>
      <c r="V17" s="36"/>
      <c r="W17" s="63"/>
      <c r="AB17" s="37"/>
      <c r="AC17" s="36"/>
      <c r="AI17" s="37"/>
      <c r="AJ17" s="36"/>
      <c r="AM17" s="36"/>
      <c r="AP17" s="37"/>
      <c r="AQ17" s="36"/>
      <c r="AW17" s="37"/>
      <c r="AX17" s="36"/>
      <c r="BD17" s="37"/>
      <c r="BE17" s="36"/>
      <c r="BK17" s="37"/>
      <c r="BL17" s="36"/>
      <c r="BR17" s="37"/>
      <c r="BS17" s="36"/>
      <c r="BY17" s="36"/>
      <c r="BZ17" s="36"/>
      <c r="CF17" s="37"/>
      <c r="CG17" s="36"/>
    </row>
    <row r="18" spans="1:85" s="38" customFormat="1" x14ac:dyDescent="0.4">
      <c r="A18" s="11"/>
      <c r="C18" s="39" t="s">
        <v>53</v>
      </c>
      <c r="D18" s="40"/>
      <c r="E18" s="41"/>
      <c r="H18" s="41"/>
      <c r="I18" s="41"/>
    </row>
    <row r="19" spans="1:85" x14ac:dyDescent="0.4">
      <c r="A19" s="1"/>
      <c r="B19" s="7">
        <v>1</v>
      </c>
      <c r="C19" s="7" t="s">
        <v>55</v>
      </c>
      <c r="D19" s="27" t="str">
        <f>RTVMember0</f>
        <v>member0</v>
      </c>
      <c r="E19" s="8">
        <f>getStartDay()</f>
        <v>42031</v>
      </c>
      <c r="F19" s="7">
        <v>1</v>
      </c>
      <c r="G19" s="7">
        <v>1</v>
      </c>
      <c r="H19" s="8">
        <f>getEndDay()</f>
        <v>42031</v>
      </c>
      <c r="I19" s="66" t="s">
        <v>42</v>
      </c>
      <c r="N19" s="37"/>
      <c r="O19" s="36"/>
      <c r="U19" s="37"/>
      <c r="V19" s="36"/>
      <c r="X19" s="7"/>
      <c r="AB19" s="37"/>
      <c r="AC19" s="36"/>
      <c r="AI19" s="37"/>
      <c r="AJ19" s="36"/>
      <c r="AM19" s="36"/>
      <c r="AP19" s="37"/>
      <c r="AQ19" s="36"/>
      <c r="AW19" s="37"/>
      <c r="AX19" s="36"/>
      <c r="BD19" s="37"/>
      <c r="BE19" s="36"/>
      <c r="BK19" s="37"/>
      <c r="BL19" s="36"/>
      <c r="BR19" s="37"/>
      <c r="BS19" s="36"/>
      <c r="BY19" s="36"/>
      <c r="BZ19" s="36"/>
      <c r="CF19" s="37"/>
      <c r="CG19" s="36"/>
    </row>
    <row r="20" spans="1:85" x14ac:dyDescent="0.4">
      <c r="B20" s="14">
        <f>getTaskNumber(curt())</f>
        <v>2</v>
      </c>
      <c r="C20" s="20" t="s">
        <v>39</v>
      </c>
      <c r="D20" s="29" t="str">
        <f>RTVMember1</f>
        <v>member1</v>
      </c>
      <c r="E20" s="19">
        <f t="shared" si="0"/>
        <v>42032</v>
      </c>
      <c r="F20" s="14">
        <v>1</v>
      </c>
      <c r="G20" s="14">
        <v>1</v>
      </c>
      <c r="H20" s="19">
        <f t="shared" ref="H20:H28" si="2">getEndDay()</f>
        <v>42032</v>
      </c>
      <c r="I20" s="66" t="s">
        <v>43</v>
      </c>
      <c r="N20" s="37"/>
      <c r="O20" s="36"/>
      <c r="U20" s="37"/>
      <c r="V20" s="36"/>
      <c r="Y20" s="14"/>
      <c r="AB20" s="37"/>
      <c r="AC20" s="36"/>
      <c r="AI20" s="37"/>
      <c r="AJ20" s="36"/>
      <c r="AM20" s="36"/>
      <c r="AP20" s="37"/>
      <c r="AQ20" s="36"/>
      <c r="AW20" s="37"/>
      <c r="AX20" s="36"/>
      <c r="BD20" s="37"/>
      <c r="BE20" s="36"/>
      <c r="BK20" s="37"/>
      <c r="BL20" s="36"/>
      <c r="BR20" s="37"/>
      <c r="BS20" s="36"/>
      <c r="BY20" s="36"/>
      <c r="BZ20" s="36"/>
      <c r="CF20" s="37"/>
      <c r="CG20" s="36"/>
    </row>
    <row r="21" spans="1:85" x14ac:dyDescent="0.4">
      <c r="B21" s="44">
        <f>getTaskNumber(curt())</f>
        <v>3</v>
      </c>
      <c r="C21" s="44" t="s">
        <v>54</v>
      </c>
      <c r="D21" s="45" t="str">
        <f>RTVMember2</f>
        <v>member2</v>
      </c>
      <c r="E21" s="46">
        <f t="shared" si="0"/>
        <v>42033</v>
      </c>
      <c r="F21" s="44">
        <v>1</v>
      </c>
      <c r="G21" s="44">
        <v>1</v>
      </c>
      <c r="H21" s="46">
        <f t="shared" si="2"/>
        <v>42033</v>
      </c>
      <c r="I21" s="66" t="s">
        <v>44</v>
      </c>
      <c r="N21" s="37"/>
      <c r="O21" s="36"/>
      <c r="U21" s="37"/>
      <c r="V21" s="36"/>
      <c r="Z21" s="44"/>
      <c r="AB21" s="37"/>
      <c r="AC21" s="36"/>
      <c r="AI21" s="37"/>
      <c r="AJ21" s="36"/>
      <c r="AM21" s="36"/>
      <c r="AP21" s="37"/>
      <c r="AQ21" s="36"/>
      <c r="AW21" s="37"/>
      <c r="AX21" s="36"/>
      <c r="BD21" s="37"/>
      <c r="BE21" s="36"/>
      <c r="BK21" s="37"/>
      <c r="BL21" s="36"/>
      <c r="BR21" s="37"/>
      <c r="BS21" s="36"/>
      <c r="BY21" s="36"/>
      <c r="BZ21" s="36"/>
      <c r="CF21" s="37"/>
      <c r="CG21" s="36"/>
    </row>
    <row r="22" spans="1:85" x14ac:dyDescent="0.4">
      <c r="B22" s="15">
        <f>getTaskNumber(curt())</f>
        <v>4</v>
      </c>
      <c r="C22" s="21" t="s">
        <v>11</v>
      </c>
      <c r="D22" s="30" t="str">
        <f>RTVMember3</f>
        <v>member3</v>
      </c>
      <c r="E22" s="22">
        <f t="shared" si="0"/>
        <v>42034</v>
      </c>
      <c r="F22" s="15">
        <v>1</v>
      </c>
      <c r="G22" s="15">
        <v>1</v>
      </c>
      <c r="H22" s="22">
        <f t="shared" si="2"/>
        <v>42034</v>
      </c>
      <c r="I22" s="66" t="s">
        <v>70</v>
      </c>
      <c r="N22" s="37"/>
      <c r="O22" s="36"/>
      <c r="U22" s="37"/>
      <c r="V22" s="36"/>
      <c r="AA22" s="15"/>
      <c r="AB22" s="37"/>
      <c r="AC22" s="36"/>
      <c r="AI22" s="37"/>
      <c r="AJ22" s="36"/>
      <c r="AM22" s="36"/>
      <c r="AP22" s="37"/>
      <c r="AQ22" s="36"/>
      <c r="AW22" s="37"/>
      <c r="AX22" s="36"/>
      <c r="BD22" s="37"/>
      <c r="BE22" s="36"/>
      <c r="BK22" s="37"/>
      <c r="BL22" s="36"/>
      <c r="BR22" s="37"/>
      <c r="BS22" s="36"/>
      <c r="BY22" s="36"/>
      <c r="BZ22" s="36"/>
      <c r="CF22" s="37"/>
      <c r="CG22" s="36"/>
    </row>
    <row r="23" spans="1:85" x14ac:dyDescent="0.4">
      <c r="B23" s="9">
        <f>getTaskNumber(curt())</f>
        <v>5</v>
      </c>
      <c r="C23" s="10" t="s">
        <v>8</v>
      </c>
      <c r="D23" s="28" t="str">
        <f>RTVMember4</f>
        <v>member4</v>
      </c>
      <c r="E23" s="12">
        <f t="shared" si="0"/>
        <v>42037</v>
      </c>
      <c r="F23" s="9">
        <v>1</v>
      </c>
      <c r="G23" s="9">
        <v>1</v>
      </c>
      <c r="H23" s="12">
        <f t="shared" si="2"/>
        <v>42037</v>
      </c>
      <c r="I23" s="66" t="s">
        <v>45</v>
      </c>
      <c r="N23" s="37"/>
      <c r="O23" s="36"/>
      <c r="U23" s="37"/>
      <c r="V23" s="36"/>
      <c r="AB23" s="37"/>
      <c r="AC23" s="36"/>
      <c r="AD23" s="9"/>
      <c r="AI23" s="37"/>
      <c r="AJ23" s="36"/>
      <c r="AM23" s="36"/>
      <c r="AP23" s="37"/>
      <c r="AQ23" s="36"/>
      <c r="AW23" s="37"/>
      <c r="AX23" s="36"/>
      <c r="BD23" s="37"/>
      <c r="BE23" s="36"/>
      <c r="BK23" s="37"/>
      <c r="BL23" s="36"/>
      <c r="BR23" s="37"/>
      <c r="BS23" s="36"/>
      <c r="BY23" s="36"/>
      <c r="BZ23" s="36"/>
      <c r="CF23" s="37"/>
      <c r="CG23" s="36"/>
    </row>
    <row r="24" spans="1:85" x14ac:dyDescent="0.4">
      <c r="B24" s="47">
        <f>getTaskNumber(curt())</f>
        <v>6</v>
      </c>
      <c r="C24" s="48" t="s">
        <v>7</v>
      </c>
      <c r="D24" s="49" t="str">
        <f>RTVMember5</f>
        <v>member5</v>
      </c>
      <c r="E24" s="50">
        <f t="shared" si="0"/>
        <v>42038</v>
      </c>
      <c r="F24" s="47">
        <v>1</v>
      </c>
      <c r="G24" s="47">
        <v>1</v>
      </c>
      <c r="H24" s="50">
        <f t="shared" si="2"/>
        <v>42038</v>
      </c>
      <c r="I24" s="66" t="s">
        <v>46</v>
      </c>
      <c r="N24" s="37"/>
      <c r="O24" s="36"/>
      <c r="U24" s="37"/>
      <c r="V24" s="36"/>
      <c r="AB24" s="37"/>
      <c r="AC24" s="36"/>
      <c r="AE24" s="47"/>
      <c r="AI24" s="37"/>
      <c r="AJ24" s="36"/>
      <c r="AM24" s="36"/>
      <c r="AP24" s="37"/>
      <c r="AQ24" s="36"/>
      <c r="AW24" s="37"/>
      <c r="AX24" s="36"/>
      <c r="BD24" s="37"/>
      <c r="BE24" s="36"/>
      <c r="BK24" s="37"/>
      <c r="BL24" s="36"/>
      <c r="BR24" s="37"/>
      <c r="BS24" s="36"/>
      <c r="BY24" s="36"/>
      <c r="BZ24" s="36"/>
      <c r="CF24" s="37"/>
      <c r="CG24" s="36"/>
    </row>
    <row r="25" spans="1:85" x14ac:dyDescent="0.4">
      <c r="B25" s="51">
        <f>getTaskNumber(curt())</f>
        <v>7</v>
      </c>
      <c r="C25" s="52" t="s">
        <v>8</v>
      </c>
      <c r="D25" s="53" t="str">
        <f>RTVMember6</f>
        <v>member6</v>
      </c>
      <c r="E25" s="54">
        <f t="shared" si="0"/>
        <v>42039</v>
      </c>
      <c r="F25" s="51">
        <v>1</v>
      </c>
      <c r="G25" s="51">
        <v>1</v>
      </c>
      <c r="H25" s="54">
        <f t="shared" si="2"/>
        <v>42039</v>
      </c>
      <c r="I25" s="66" t="s">
        <v>47</v>
      </c>
      <c r="N25" s="37"/>
      <c r="O25" s="36"/>
      <c r="U25" s="37"/>
      <c r="V25" s="36"/>
      <c r="AB25" s="37"/>
      <c r="AC25" s="36"/>
      <c r="AF25" s="51"/>
      <c r="AI25" s="37"/>
      <c r="AJ25" s="36"/>
      <c r="AM25" s="36"/>
      <c r="AP25" s="37"/>
      <c r="AQ25" s="36"/>
      <c r="AW25" s="37"/>
      <c r="AX25" s="36"/>
      <c r="BD25" s="37"/>
      <c r="BE25" s="36"/>
      <c r="BK25" s="37"/>
      <c r="BL25" s="36"/>
      <c r="BR25" s="37"/>
      <c r="BS25" s="36"/>
      <c r="BY25" s="36"/>
      <c r="BZ25" s="36"/>
      <c r="CF25" s="37"/>
      <c r="CG25" s="36"/>
    </row>
    <row r="26" spans="1:85" x14ac:dyDescent="0.4">
      <c r="B26" s="55">
        <f>getTaskNumber(curt())</f>
        <v>8</v>
      </c>
      <c r="C26" s="56" t="s">
        <v>7</v>
      </c>
      <c r="D26" s="57" t="str">
        <f>RTVMember7</f>
        <v>member7</v>
      </c>
      <c r="E26" s="58">
        <f t="shared" si="0"/>
        <v>42040</v>
      </c>
      <c r="F26" s="55">
        <v>1</v>
      </c>
      <c r="G26" s="55">
        <v>1</v>
      </c>
      <c r="H26" s="58">
        <f t="shared" si="2"/>
        <v>42040</v>
      </c>
      <c r="I26" s="66" t="s">
        <v>48</v>
      </c>
      <c r="N26" s="37"/>
      <c r="O26" s="36"/>
      <c r="U26" s="37"/>
      <c r="V26" s="36"/>
      <c r="AB26" s="37"/>
      <c r="AC26" s="36"/>
      <c r="AG26" s="55"/>
      <c r="AI26" s="37"/>
      <c r="AJ26" s="36"/>
      <c r="AM26" s="36"/>
      <c r="AP26" s="37"/>
      <c r="AQ26" s="36"/>
      <c r="AW26" s="37"/>
      <c r="AX26" s="36"/>
      <c r="BD26" s="37"/>
      <c r="BE26" s="36"/>
      <c r="BK26" s="37"/>
      <c r="BL26" s="36"/>
      <c r="BR26" s="37"/>
      <c r="BS26" s="36"/>
      <c r="BY26" s="36"/>
      <c r="BZ26" s="36"/>
      <c r="CF26" s="37"/>
      <c r="CG26" s="36"/>
    </row>
    <row r="27" spans="1:85" x14ac:dyDescent="0.4">
      <c r="B27" s="59">
        <f>getTaskNumber(curt())</f>
        <v>9</v>
      </c>
      <c r="C27" s="60" t="s">
        <v>9</v>
      </c>
      <c r="D27" s="61" t="str">
        <f>RTVMember8</f>
        <v>member8</v>
      </c>
      <c r="E27" s="62">
        <f t="shared" si="0"/>
        <v>42041</v>
      </c>
      <c r="F27" s="59">
        <v>1</v>
      </c>
      <c r="G27" s="59">
        <v>1</v>
      </c>
      <c r="H27" s="62">
        <f t="shared" si="2"/>
        <v>42041</v>
      </c>
      <c r="I27" s="66" t="s">
        <v>68</v>
      </c>
      <c r="N27" s="37"/>
      <c r="O27" s="36"/>
      <c r="U27" s="37"/>
      <c r="V27" s="36"/>
      <c r="AB27" s="37"/>
      <c r="AC27" s="36"/>
      <c r="AH27" s="59"/>
      <c r="AI27" s="37"/>
      <c r="AJ27" s="36"/>
      <c r="AM27" s="36"/>
      <c r="AP27" s="37"/>
      <c r="AQ27" s="36"/>
      <c r="AW27" s="37"/>
      <c r="AX27" s="36"/>
      <c r="BD27" s="37"/>
      <c r="BE27" s="36"/>
      <c r="BK27" s="37"/>
      <c r="BL27" s="36"/>
      <c r="BR27" s="37"/>
      <c r="BS27" s="36"/>
      <c r="BY27" s="36"/>
      <c r="BZ27" s="36"/>
      <c r="CF27" s="37"/>
      <c r="CG27" s="36"/>
    </row>
    <row r="28" spans="1:85" x14ac:dyDescent="0.4">
      <c r="B28" s="63">
        <f>getTaskNumber(curt())</f>
        <v>10</v>
      </c>
      <c r="C28" s="63" t="s">
        <v>10</v>
      </c>
      <c r="D28" s="64" t="str">
        <f>RTVMember9</f>
        <v>member9</v>
      </c>
      <c r="E28" s="65">
        <f t="shared" si="0"/>
        <v>42044</v>
      </c>
      <c r="F28" s="63">
        <v>1</v>
      </c>
      <c r="G28" s="63">
        <v>1</v>
      </c>
      <c r="H28" s="65">
        <f t="shared" si="2"/>
        <v>42044</v>
      </c>
      <c r="I28" s="66" t="s">
        <v>49</v>
      </c>
      <c r="N28" s="37"/>
      <c r="O28" s="36"/>
      <c r="U28" s="37"/>
      <c r="V28" s="36"/>
      <c r="AB28" s="37"/>
      <c r="AC28" s="36"/>
      <c r="AI28" s="37"/>
      <c r="AJ28" s="36"/>
      <c r="AK28" s="63"/>
      <c r="AM28" s="36"/>
      <c r="AP28" s="37"/>
      <c r="AQ28" s="36"/>
      <c r="AW28" s="37"/>
      <c r="AX28" s="36"/>
      <c r="BD28" s="37"/>
      <c r="BE28" s="36"/>
      <c r="BK28" s="37"/>
      <c r="BL28" s="36"/>
      <c r="BR28" s="37"/>
      <c r="BS28" s="36"/>
      <c r="BY28" s="36"/>
      <c r="BZ28" s="36"/>
      <c r="CF28" s="37"/>
      <c r="CG28" s="36"/>
    </row>
    <row r="29" spans="1:85" s="38" customFormat="1" x14ac:dyDescent="0.4">
      <c r="A29" s="11"/>
      <c r="C29" s="39" t="s">
        <v>53</v>
      </c>
      <c r="D29" s="40"/>
      <c r="E29" s="41"/>
      <c r="H29" s="41"/>
      <c r="I29" s="41"/>
    </row>
    <row r="30" spans="1:85" x14ac:dyDescent="0.4">
      <c r="A30" s="1"/>
      <c r="B30" s="7">
        <v>1</v>
      </c>
      <c r="C30" s="7" t="s">
        <v>55</v>
      </c>
      <c r="D30" s="27" t="str">
        <f>RTVMember0</f>
        <v>member0</v>
      </c>
      <c r="E30" s="8">
        <f>getStartDay()</f>
        <v>42045</v>
      </c>
      <c r="F30" s="7">
        <v>1</v>
      </c>
      <c r="G30" s="7">
        <v>1</v>
      </c>
      <c r="H30" s="8">
        <f>getEndDay()</f>
        <v>42045</v>
      </c>
      <c r="I30" s="66" t="s">
        <v>42</v>
      </c>
      <c r="N30" s="37"/>
      <c r="O30" s="36"/>
      <c r="U30" s="37"/>
      <c r="V30" s="36"/>
      <c r="AB30" s="37"/>
      <c r="AC30" s="36"/>
      <c r="AI30" s="37"/>
      <c r="AJ30" s="36"/>
      <c r="AL30" s="7"/>
      <c r="AM30" s="36"/>
      <c r="AP30" s="37"/>
      <c r="AQ30" s="36"/>
      <c r="AW30" s="37"/>
      <c r="AX30" s="36"/>
      <c r="BD30" s="37"/>
      <c r="BE30" s="36"/>
      <c r="BK30" s="37"/>
      <c r="BL30" s="36"/>
      <c r="BR30" s="37"/>
      <c r="BS30" s="36"/>
      <c r="BY30" s="36"/>
      <c r="BZ30" s="36"/>
      <c r="CF30" s="37"/>
      <c r="CG30" s="36"/>
    </row>
    <row r="31" spans="1:85" x14ac:dyDescent="0.4">
      <c r="B31" s="14">
        <f>getTaskNumber(curt())</f>
        <v>2</v>
      </c>
      <c r="C31" s="20" t="s">
        <v>39</v>
      </c>
      <c r="D31" s="29" t="str">
        <f>RTVMember1</f>
        <v>member1</v>
      </c>
      <c r="E31" s="19">
        <f t="shared" si="0"/>
        <v>42047</v>
      </c>
      <c r="F31" s="14">
        <v>1</v>
      </c>
      <c r="G31" s="14">
        <v>1</v>
      </c>
      <c r="H31" s="19">
        <f t="shared" ref="H31:H39" si="3">getEndDay()</f>
        <v>42047</v>
      </c>
      <c r="I31" s="66" t="s">
        <v>43</v>
      </c>
      <c r="N31" s="37"/>
      <c r="O31" s="36"/>
      <c r="U31" s="37"/>
      <c r="V31" s="36"/>
      <c r="AB31" s="37"/>
      <c r="AC31" s="36"/>
      <c r="AI31" s="37"/>
      <c r="AJ31" s="36"/>
      <c r="AM31" s="36"/>
      <c r="AN31" s="14"/>
      <c r="AP31" s="37"/>
      <c r="AQ31" s="36"/>
      <c r="AW31" s="37"/>
      <c r="AX31" s="36"/>
      <c r="BD31" s="37"/>
      <c r="BE31" s="36"/>
      <c r="BK31" s="37"/>
      <c r="BL31" s="36"/>
      <c r="BR31" s="37"/>
      <c r="BS31" s="36"/>
      <c r="BY31" s="36"/>
      <c r="BZ31" s="36"/>
      <c r="CF31" s="37"/>
      <c r="CG31" s="36"/>
    </row>
    <row r="32" spans="1:85" x14ac:dyDescent="0.4">
      <c r="B32" s="44">
        <f>getTaskNumber(curt())</f>
        <v>3</v>
      </c>
      <c r="C32" s="44" t="s">
        <v>54</v>
      </c>
      <c r="D32" s="45" t="str">
        <f>RTVMember2</f>
        <v>member2</v>
      </c>
      <c r="E32" s="46">
        <f t="shared" si="0"/>
        <v>42048</v>
      </c>
      <c r="F32" s="44">
        <v>1</v>
      </c>
      <c r="G32" s="44">
        <v>1</v>
      </c>
      <c r="H32" s="46">
        <f t="shared" si="3"/>
        <v>42048</v>
      </c>
      <c r="I32" s="66" t="s">
        <v>44</v>
      </c>
      <c r="N32" s="37"/>
      <c r="O32" s="36"/>
      <c r="U32" s="37"/>
      <c r="V32" s="36"/>
      <c r="AB32" s="37"/>
      <c r="AC32" s="36"/>
      <c r="AI32" s="37"/>
      <c r="AJ32" s="36"/>
      <c r="AM32" s="36"/>
      <c r="AO32" s="44"/>
      <c r="AP32" s="37"/>
      <c r="AQ32" s="36"/>
      <c r="AW32" s="37"/>
      <c r="AX32" s="36"/>
      <c r="BD32" s="37"/>
      <c r="BE32" s="36"/>
      <c r="BK32" s="37"/>
      <c r="BL32" s="36"/>
      <c r="BR32" s="37"/>
      <c r="BS32" s="36"/>
      <c r="BY32" s="36"/>
      <c r="BZ32" s="36"/>
      <c r="CF32" s="37"/>
      <c r="CG32" s="36"/>
    </row>
    <row r="33" spans="2:85" x14ac:dyDescent="0.4">
      <c r="B33" s="15">
        <f>getTaskNumber(curt())</f>
        <v>4</v>
      </c>
      <c r="C33" s="21" t="s">
        <v>11</v>
      </c>
      <c r="D33" s="30" t="str">
        <f>RTVMember3</f>
        <v>member3</v>
      </c>
      <c r="E33" s="22">
        <f t="shared" si="0"/>
        <v>42051</v>
      </c>
      <c r="F33" s="15">
        <v>1</v>
      </c>
      <c r="G33" s="15">
        <v>1</v>
      </c>
      <c r="H33" s="22">
        <f t="shared" si="3"/>
        <v>42051</v>
      </c>
      <c r="I33" s="66" t="s">
        <v>70</v>
      </c>
      <c r="N33" s="37"/>
      <c r="O33" s="36"/>
      <c r="U33" s="37"/>
      <c r="V33" s="36"/>
      <c r="AB33" s="37"/>
      <c r="AC33" s="36"/>
      <c r="AI33" s="37"/>
      <c r="AJ33" s="36"/>
      <c r="AM33" s="36"/>
      <c r="AP33" s="37"/>
      <c r="AQ33" s="36"/>
      <c r="AR33" s="15"/>
      <c r="AW33" s="37"/>
      <c r="AX33" s="36"/>
      <c r="BD33" s="37"/>
      <c r="BE33" s="36"/>
      <c r="BK33" s="37"/>
      <c r="BL33" s="36"/>
      <c r="BR33" s="37"/>
      <c r="BS33" s="36"/>
      <c r="BY33" s="36"/>
      <c r="BZ33" s="36"/>
      <c r="CF33" s="37"/>
      <c r="CG33" s="36"/>
    </row>
    <row r="34" spans="2:85" x14ac:dyDescent="0.4">
      <c r="B34" s="9">
        <f>getTaskNumber(curt())</f>
        <v>5</v>
      </c>
      <c r="C34" s="10" t="s">
        <v>8</v>
      </c>
      <c r="D34" s="28" t="str">
        <f>RTVMember4</f>
        <v>member4</v>
      </c>
      <c r="E34" s="12">
        <f t="shared" si="0"/>
        <v>42052</v>
      </c>
      <c r="F34" s="9">
        <v>1</v>
      </c>
      <c r="G34" s="9">
        <v>1</v>
      </c>
      <c r="H34" s="12">
        <f t="shared" si="3"/>
        <v>42052</v>
      </c>
      <c r="I34" s="66" t="s">
        <v>45</v>
      </c>
      <c r="N34" s="37"/>
      <c r="O34" s="36"/>
      <c r="U34" s="37"/>
      <c r="V34" s="36"/>
      <c r="AB34" s="37"/>
      <c r="AC34" s="36"/>
      <c r="AI34" s="37"/>
      <c r="AJ34" s="36"/>
      <c r="AM34" s="36"/>
      <c r="AP34" s="37"/>
      <c r="AQ34" s="36"/>
      <c r="AS34" s="9"/>
      <c r="AW34" s="37"/>
      <c r="AX34" s="36"/>
      <c r="BD34" s="37"/>
      <c r="BE34" s="36"/>
      <c r="BK34" s="37"/>
      <c r="BL34" s="36"/>
      <c r="BR34" s="37"/>
      <c r="BS34" s="36"/>
      <c r="BY34" s="36"/>
      <c r="BZ34" s="36"/>
      <c r="CF34" s="37"/>
      <c r="CG34" s="36"/>
    </row>
    <row r="35" spans="2:85" x14ac:dyDescent="0.4">
      <c r="B35" s="47">
        <f>getTaskNumber(curt())</f>
        <v>6</v>
      </c>
      <c r="C35" s="48" t="s">
        <v>7</v>
      </c>
      <c r="D35" s="49" t="str">
        <f>RTVMember5</f>
        <v>member5</v>
      </c>
      <c r="E35" s="50">
        <f t="shared" si="0"/>
        <v>42053</v>
      </c>
      <c r="F35" s="47">
        <v>1</v>
      </c>
      <c r="G35" s="47">
        <v>1</v>
      </c>
      <c r="H35" s="50">
        <f t="shared" si="3"/>
        <v>42053</v>
      </c>
      <c r="I35" s="66" t="s">
        <v>46</v>
      </c>
      <c r="N35" s="37"/>
      <c r="O35" s="36"/>
      <c r="U35" s="37"/>
      <c r="V35" s="36"/>
      <c r="AB35" s="37"/>
      <c r="AC35" s="36"/>
      <c r="AI35" s="37"/>
      <c r="AJ35" s="36"/>
      <c r="AM35" s="36"/>
      <c r="AP35" s="37"/>
      <c r="AQ35" s="36"/>
      <c r="AT35" s="47"/>
      <c r="AW35" s="37"/>
      <c r="AX35" s="36"/>
      <c r="BD35" s="37"/>
      <c r="BE35" s="36"/>
      <c r="BK35" s="37"/>
      <c r="BL35" s="36"/>
      <c r="BR35" s="37"/>
      <c r="BS35" s="36"/>
      <c r="BY35" s="36"/>
      <c r="BZ35" s="36"/>
      <c r="CF35" s="37"/>
      <c r="CG35" s="36"/>
    </row>
    <row r="36" spans="2:85" x14ac:dyDescent="0.4">
      <c r="B36" s="51">
        <f>getTaskNumber(curt())</f>
        <v>7</v>
      </c>
      <c r="C36" s="52" t="s">
        <v>8</v>
      </c>
      <c r="D36" s="53" t="str">
        <f>RTVMember6</f>
        <v>member6</v>
      </c>
      <c r="E36" s="54">
        <f t="shared" si="0"/>
        <v>42054</v>
      </c>
      <c r="F36" s="51">
        <v>1</v>
      </c>
      <c r="G36" s="51">
        <v>1</v>
      </c>
      <c r="H36" s="54">
        <f t="shared" si="3"/>
        <v>42054</v>
      </c>
      <c r="I36" s="66" t="s">
        <v>47</v>
      </c>
      <c r="N36" s="37"/>
      <c r="O36" s="36"/>
      <c r="U36" s="37"/>
      <c r="V36" s="36"/>
      <c r="AB36" s="37"/>
      <c r="AC36" s="36"/>
      <c r="AI36" s="37"/>
      <c r="AJ36" s="36"/>
      <c r="AM36" s="36"/>
      <c r="AP36" s="37"/>
      <c r="AQ36" s="36"/>
      <c r="AU36" s="51"/>
      <c r="AW36" s="37"/>
      <c r="AX36" s="36"/>
      <c r="BD36" s="37"/>
      <c r="BE36" s="36"/>
      <c r="BK36" s="37"/>
      <c r="BL36" s="36"/>
      <c r="BR36" s="37"/>
      <c r="BS36" s="36"/>
      <c r="BY36" s="36"/>
      <c r="BZ36" s="36"/>
      <c r="CF36" s="37"/>
      <c r="CG36" s="36"/>
    </row>
    <row r="37" spans="2:85" x14ac:dyDescent="0.4">
      <c r="B37" s="55">
        <f>getTaskNumber(curt())</f>
        <v>8</v>
      </c>
      <c r="C37" s="56" t="s">
        <v>7</v>
      </c>
      <c r="D37" s="57" t="str">
        <f>RTVMember7</f>
        <v>member7</v>
      </c>
      <c r="E37" s="58">
        <f t="shared" si="0"/>
        <v>42055</v>
      </c>
      <c r="F37" s="55">
        <v>1</v>
      </c>
      <c r="G37" s="55">
        <v>1</v>
      </c>
      <c r="H37" s="58">
        <f t="shared" si="3"/>
        <v>42055</v>
      </c>
      <c r="I37" s="66" t="s">
        <v>48</v>
      </c>
      <c r="N37" s="37"/>
      <c r="O37" s="36"/>
      <c r="U37" s="37"/>
      <c r="V37" s="36"/>
      <c r="AB37" s="37"/>
      <c r="AC37" s="36"/>
      <c r="AI37" s="37"/>
      <c r="AJ37" s="36"/>
      <c r="AM37" s="36"/>
      <c r="AP37" s="37"/>
      <c r="AQ37" s="36"/>
      <c r="AV37" s="55"/>
      <c r="AW37" s="37"/>
      <c r="AX37" s="36"/>
      <c r="BD37" s="37"/>
      <c r="BE37" s="36"/>
      <c r="BK37" s="37"/>
      <c r="BL37" s="36"/>
      <c r="BR37" s="37"/>
      <c r="BS37" s="36"/>
      <c r="BY37" s="36"/>
      <c r="BZ37" s="36"/>
      <c r="CF37" s="37"/>
      <c r="CG37" s="36"/>
    </row>
    <row r="38" spans="2:85" x14ac:dyDescent="0.4">
      <c r="B38" s="59">
        <f>getTaskNumber(curt())</f>
        <v>9</v>
      </c>
      <c r="C38" s="60" t="s">
        <v>9</v>
      </c>
      <c r="D38" s="61" t="str">
        <f>RTVMember8</f>
        <v>member8</v>
      </c>
      <c r="E38" s="62">
        <f t="shared" si="0"/>
        <v>42058</v>
      </c>
      <c r="F38" s="59">
        <v>1</v>
      </c>
      <c r="G38" s="59">
        <v>1</v>
      </c>
      <c r="H38" s="62">
        <f t="shared" si="3"/>
        <v>42058</v>
      </c>
      <c r="I38" s="66" t="s">
        <v>68</v>
      </c>
      <c r="N38" s="37"/>
      <c r="O38" s="36"/>
      <c r="U38" s="37"/>
      <c r="V38" s="36"/>
      <c r="AB38" s="37"/>
      <c r="AC38" s="36"/>
      <c r="AI38" s="37"/>
      <c r="AJ38" s="36"/>
      <c r="AM38" s="36"/>
      <c r="AP38" s="37"/>
      <c r="AQ38" s="36"/>
      <c r="AW38" s="37"/>
      <c r="AX38" s="36"/>
      <c r="AY38" s="59"/>
      <c r="BD38" s="37"/>
      <c r="BE38" s="36"/>
      <c r="BK38" s="37"/>
      <c r="BL38" s="36"/>
      <c r="BR38" s="37"/>
      <c r="BS38" s="36"/>
      <c r="BY38" s="36"/>
      <c r="BZ38" s="36"/>
      <c r="CF38" s="37"/>
      <c r="CG38" s="36"/>
    </row>
    <row r="39" spans="2:85" x14ac:dyDescent="0.4">
      <c r="B39" s="63">
        <f>getTaskNumber(curt())</f>
        <v>10</v>
      </c>
      <c r="C39" s="63" t="s">
        <v>10</v>
      </c>
      <c r="D39" s="64" t="str">
        <f>RTVMember9</f>
        <v>member9</v>
      </c>
      <c r="E39" s="65">
        <f t="shared" si="0"/>
        <v>42059</v>
      </c>
      <c r="F39" s="63">
        <v>1</v>
      </c>
      <c r="G39" s="63">
        <v>1</v>
      </c>
      <c r="H39" s="65">
        <f t="shared" si="3"/>
        <v>42059</v>
      </c>
      <c r="I39" s="66" t="s">
        <v>49</v>
      </c>
      <c r="N39" s="37"/>
      <c r="O39" s="36"/>
      <c r="U39" s="37"/>
      <c r="V39" s="36"/>
      <c r="AB39" s="37"/>
      <c r="AC39" s="36"/>
      <c r="AI39" s="37"/>
      <c r="AJ39" s="36"/>
      <c r="AM39" s="36"/>
      <c r="AP39" s="37"/>
      <c r="AQ39" s="36"/>
      <c r="AW39" s="37"/>
      <c r="AX39" s="36"/>
      <c r="AZ39" s="63"/>
      <c r="BD39" s="37"/>
      <c r="BE39" s="36"/>
      <c r="BK39" s="37"/>
      <c r="BL39" s="36"/>
      <c r="BR39" s="37"/>
      <c r="BS39" s="36"/>
      <c r="BY39" s="36"/>
      <c r="BZ39" s="36"/>
      <c r="CF39" s="37"/>
      <c r="CG39" s="36"/>
    </row>
  </sheetData>
  <phoneticPr fontId="1"/>
  <conditionalFormatting sqref="A1:XFD1048576">
    <cfRule type="cellIs" dxfId="19" priority="1" operator="equal">
      <formula>RTVMember9</formula>
    </cfRule>
    <cfRule type="cellIs" dxfId="18" priority="2" operator="equal">
      <formula>RTVMember8</formula>
    </cfRule>
    <cfRule type="cellIs" dxfId="17" priority="3" operator="equal">
      <formula>RTVMember7</formula>
    </cfRule>
    <cfRule type="cellIs" dxfId="16" priority="11" operator="equal">
      <formula>RTVMember6</formula>
    </cfRule>
    <cfRule type="cellIs" dxfId="15" priority="12" operator="equal">
      <formula>RTVMember5</formula>
    </cfRule>
    <cfRule type="cellIs" dxfId="14" priority="13" operator="equal">
      <formula>RTVMember4</formula>
    </cfRule>
    <cfRule type="cellIs" dxfId="13" priority="14" operator="equal">
      <formula>RTVMember3</formula>
    </cfRule>
    <cfRule type="cellIs" dxfId="12" priority="15" operator="equal">
      <formula>RTVMember2</formula>
    </cfRule>
    <cfRule type="cellIs" dxfId="11" priority="16" operator="equal">
      <formula>RTVMember1</formula>
    </cfRule>
    <cfRule type="cellIs" dxfId="10" priority="17" operator="equal">
      <formula>RTVMember0</formula>
    </cfRule>
  </conditionalFormatting>
  <pageMargins left="0.3888888888888889" right="0.3888888888888889" top="0.3888888888888889" bottom="0.3888888888888889" header="0.3" footer="0.3"/>
  <pageSetup paperSize="8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ave as xslx">
              <controlPr defaultSize="0" print="0" autoFill="0" autoPict="0" macro="[0]!saveXLSX">
                <anchor>
                  <from>
                    <xdr:col>0</xdr:col>
                    <xdr:colOff>104775</xdr:colOff>
                    <xdr:row>0</xdr:row>
                    <xdr:rowOff>104775</xdr:rowOff>
                  </from>
                  <to>
                    <xdr:col>1</xdr:col>
                    <xdr:colOff>28575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aveAsPDF">
                <anchor>
                  <from>
                    <xdr:col>1</xdr:col>
                    <xdr:colOff>133350</xdr:colOff>
                    <xdr:row>0</xdr:row>
                    <xdr:rowOff>104775</xdr:rowOff>
                  </from>
                  <to>
                    <xdr:col>2</xdr:col>
                    <xdr:colOff>809625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8" operator="equal" id="{788481D1-3228-44CE-9FEC-3D0A6DDBEDDF}">
            <xm:f>member!$D$8</xm:f>
            <x14:dxf>
              <font>
                <color theme="0"/>
              </font>
              <fill>
                <patternFill>
                  <bgColor rgb="FF666666"/>
                </patternFill>
              </fill>
            </x14:dxf>
          </x14:cfRule>
          <x14:cfRule type="cellIs" priority="29" operator="equal" id="{FB8AAD05-01A0-4B35-99AD-B1D86B95BEA4}">
            <xm:f>member!$D$7</xm:f>
            <x14:dxf>
              <font>
                <color theme="0"/>
              </font>
              <fill>
                <patternFill>
                  <bgColor rgb="FF808080"/>
                </patternFill>
              </fill>
            </x14:dxf>
          </x14:cfRule>
          <x14:cfRule type="cellIs" priority="30" operator="equal" id="{572C723E-56A1-4E7F-B387-60D146C95500}">
            <xm:f>member!$D$6</xm:f>
            <x14:dxf>
              <font>
                <color theme="0"/>
              </font>
              <fill>
                <patternFill>
                  <bgColor rgb="FF999999"/>
                </patternFill>
              </fill>
            </x14:dxf>
          </x14:cfRule>
          <x14:cfRule type="cellIs" priority="31" operator="equal" id="{660774EA-CE56-40A8-9793-6BD2BEF171B4}">
            <xm:f>member!$D$5</xm:f>
            <x14:dxf>
              <font>
                <color theme="0"/>
              </font>
              <fill>
                <patternFill>
                  <bgColor rgb="FFB3B3B3"/>
                </patternFill>
              </fill>
            </x14:dxf>
          </x14:cfRule>
          <x14:cfRule type="cellIs" priority="32" operator="equal" id="{BA161627-243D-4D42-BD74-27E8959DD862}">
            <xm:f>member!$D$4</xm:f>
            <x14:dxf>
              <fill>
                <patternFill>
                  <bgColor rgb="FFCCCCCC"/>
                </patternFill>
              </fill>
            </x14:dxf>
          </x14:cfRule>
          <x14:cfRule type="cellIs" priority="33" operator="equal" id="{A16D7F51-6BF5-4500-A467-A93C6ADFABB1}">
            <xm:f>member!$D$3</xm:f>
            <x14:dxf>
              <fill>
                <patternFill>
                  <bgColor rgb="FFE6E6E6"/>
                </patternFill>
              </fill>
            </x14:dxf>
          </x14:cfRule>
          <x14:cfRule type="cellIs" priority="34" operator="equal" id="{592D6B52-E76A-4C13-B1A0-8BEA32041492}">
            <xm:f>member!$D$2</xm:f>
            <x14:dxf>
              <fill>
                <patternFill>
                  <bgColor rgb="FFF2F2F2"/>
                </patternFill>
              </fill>
            </x14:dxf>
          </x14:cfRule>
          <x14:cfRule type="cellIs" priority="20" operator="equal" id="{6C382317-7290-4FA3-B3F8-292837640D38}">
            <xm:f>member!$D$9</xm:f>
            <x14:dxf>
              <font>
                <color theme="0"/>
              </font>
              <fill>
                <patternFill>
                  <bgColor rgb="FF4D4D4D"/>
                </patternFill>
              </fill>
            </x14:dxf>
          </x14:cfRule>
          <x14:cfRule type="cellIs" priority="19" operator="equal" id="{ED240451-DD17-4DD7-A7D4-3F89D9D1C254}">
            <xm:f>member!$D$10</xm:f>
            <x14:dxf>
              <font>
                <color theme="0"/>
              </font>
              <fill>
                <patternFill>
                  <bgColor rgb="FF333333"/>
                </patternFill>
              </fill>
            </x14:dxf>
          </x14:cfRule>
          <x14:cfRule type="cellIs" priority="18" operator="equal" id="{44B8AB1E-DFCB-4910-A4E4-EC2B3A79700C}">
            <xm:f>member!$D$11</xm:f>
            <x14:dxf>
              <font>
                <color theme="0"/>
              </font>
              <fill>
                <patternFill>
                  <bgColor rgb="FF1A1A1A"/>
                </patternFill>
              </fill>
            </x14:dxf>
          </x14:cfRule>
          <xm:sqref>I1:I1048576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member!$D$2:$D$11</xm:f>
          </x14:formula1>
          <xm:sqref>I8:I17 I19:I28 I30:I39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heet"/>
  <dimension ref="A1:C354"/>
  <sheetViews>
    <sheetView topLeftCell="A295" workbookViewId="0">
      <selection activeCell="G8" sqref="G8"/>
    </sheetView>
  </sheetViews>
  <sheetFormatPr defaultRowHeight="16.5" x14ac:dyDescent="0.4"/>
  <cols>
    <col min="1" max="1" width="11.125" bestFit="1" customWidth="1"/>
    <col min="2" max="2" width="11.375" bestFit="1" customWidth="1"/>
    <col min="3" max="3" width="3.125" bestFit="1" customWidth="1"/>
  </cols>
  <sheetData>
    <row r="1" spans="1:3" x14ac:dyDescent="0.4">
      <c r="A1" s="3">
        <v>41275</v>
      </c>
      <c r="B1" t="s">
        <v>13</v>
      </c>
      <c r="C1" t="s">
        <v>14</v>
      </c>
    </row>
    <row r="2" spans="1:3" x14ac:dyDescent="0.4">
      <c r="A2" s="3">
        <v>41288</v>
      </c>
      <c r="B2" t="s">
        <v>15</v>
      </c>
      <c r="C2" t="s">
        <v>16</v>
      </c>
    </row>
    <row r="3" spans="1:3" x14ac:dyDescent="0.4">
      <c r="A3" s="3">
        <v>41316</v>
      </c>
      <c r="B3" t="s">
        <v>17</v>
      </c>
      <c r="C3" t="s">
        <v>16</v>
      </c>
    </row>
    <row r="4" spans="1:3" x14ac:dyDescent="0.4">
      <c r="A4" s="3">
        <v>41353</v>
      </c>
      <c r="B4" t="s">
        <v>18</v>
      </c>
      <c r="C4" t="s">
        <v>19</v>
      </c>
    </row>
    <row r="5" spans="1:3" x14ac:dyDescent="0.4">
      <c r="A5" s="3">
        <v>41393</v>
      </c>
      <c r="B5" t="s">
        <v>20</v>
      </c>
      <c r="C5" t="s">
        <v>16</v>
      </c>
    </row>
    <row r="6" spans="1:3" x14ac:dyDescent="0.4">
      <c r="A6" s="3">
        <v>41397</v>
      </c>
      <c r="B6" t="s">
        <v>21</v>
      </c>
      <c r="C6" t="s">
        <v>22</v>
      </c>
    </row>
    <row r="7" spans="1:3" x14ac:dyDescent="0.4">
      <c r="A7" s="3">
        <v>41398</v>
      </c>
      <c r="B7" t="s">
        <v>23</v>
      </c>
      <c r="C7" t="s">
        <v>24</v>
      </c>
    </row>
    <row r="8" spans="1:3" x14ac:dyDescent="0.4">
      <c r="A8" s="3">
        <v>41399</v>
      </c>
      <c r="B8" t="s">
        <v>25</v>
      </c>
      <c r="C8" t="s">
        <v>26</v>
      </c>
    </row>
    <row r="9" spans="1:3" x14ac:dyDescent="0.4">
      <c r="A9" s="3">
        <v>41400</v>
      </c>
      <c r="B9" t="s">
        <v>27</v>
      </c>
      <c r="C9" t="s">
        <v>16</v>
      </c>
    </row>
    <row r="10" spans="1:3" x14ac:dyDescent="0.4">
      <c r="A10" s="3">
        <v>41470</v>
      </c>
      <c r="B10" t="s">
        <v>28</v>
      </c>
      <c r="C10" t="s">
        <v>16</v>
      </c>
    </row>
    <row r="11" spans="1:3" x14ac:dyDescent="0.4">
      <c r="A11" s="3">
        <v>41533</v>
      </c>
      <c r="B11" t="s">
        <v>29</v>
      </c>
      <c r="C11" t="s">
        <v>16</v>
      </c>
    </row>
    <row r="12" spans="1:3" x14ac:dyDescent="0.4">
      <c r="A12" s="3">
        <v>41540</v>
      </c>
      <c r="B12" t="s">
        <v>30</v>
      </c>
      <c r="C12" t="s">
        <v>16</v>
      </c>
    </row>
    <row r="13" spans="1:3" x14ac:dyDescent="0.4">
      <c r="A13" s="3">
        <v>41561</v>
      </c>
      <c r="B13" t="s">
        <v>31</v>
      </c>
      <c r="C13" t="s">
        <v>16</v>
      </c>
    </row>
    <row r="14" spans="1:3" x14ac:dyDescent="0.4">
      <c r="A14" s="3">
        <v>41581</v>
      </c>
      <c r="B14" t="s">
        <v>32</v>
      </c>
      <c r="C14" t="s">
        <v>26</v>
      </c>
    </row>
    <row r="15" spans="1:3" x14ac:dyDescent="0.4">
      <c r="A15" s="3">
        <v>41582</v>
      </c>
      <c r="B15" t="s">
        <v>27</v>
      </c>
      <c r="C15" t="s">
        <v>16</v>
      </c>
    </row>
    <row r="16" spans="1:3" x14ac:dyDescent="0.4">
      <c r="A16" s="3">
        <v>41601</v>
      </c>
      <c r="B16" t="s">
        <v>33</v>
      </c>
      <c r="C16" t="s">
        <v>24</v>
      </c>
    </row>
    <row r="17" spans="1:3" x14ac:dyDescent="0.4">
      <c r="A17" s="3">
        <v>41631</v>
      </c>
      <c r="B17" t="s">
        <v>34</v>
      </c>
      <c r="C17" t="s">
        <v>16</v>
      </c>
    </row>
    <row r="18" spans="1:3" x14ac:dyDescent="0.4">
      <c r="A18" s="3">
        <v>41640</v>
      </c>
      <c r="B18" t="s">
        <v>13</v>
      </c>
      <c r="C18" t="s">
        <v>19</v>
      </c>
    </row>
    <row r="19" spans="1:3" x14ac:dyDescent="0.4">
      <c r="A19" s="3">
        <v>41652</v>
      </c>
      <c r="B19" t="s">
        <v>15</v>
      </c>
      <c r="C19" t="s">
        <v>16</v>
      </c>
    </row>
    <row r="20" spans="1:3" x14ac:dyDescent="0.4">
      <c r="A20" s="3">
        <v>41681</v>
      </c>
      <c r="B20" t="s">
        <v>17</v>
      </c>
      <c r="C20" t="s">
        <v>14</v>
      </c>
    </row>
    <row r="21" spans="1:3" x14ac:dyDescent="0.4">
      <c r="A21" s="3">
        <v>41719</v>
      </c>
      <c r="B21" t="s">
        <v>18</v>
      </c>
      <c r="C21" t="s">
        <v>22</v>
      </c>
    </row>
    <row r="22" spans="1:3" x14ac:dyDescent="0.4">
      <c r="A22" s="3">
        <v>41758</v>
      </c>
      <c r="B22" t="s">
        <v>20</v>
      </c>
      <c r="C22" t="s">
        <v>14</v>
      </c>
    </row>
    <row r="23" spans="1:3" x14ac:dyDescent="0.4">
      <c r="A23" s="3">
        <v>41762</v>
      </c>
      <c r="B23" t="s">
        <v>21</v>
      </c>
      <c r="C23" t="s">
        <v>24</v>
      </c>
    </row>
    <row r="24" spans="1:3" x14ac:dyDescent="0.4">
      <c r="A24" s="3">
        <v>41763</v>
      </c>
      <c r="B24" t="s">
        <v>23</v>
      </c>
      <c r="C24" t="s">
        <v>26</v>
      </c>
    </row>
    <row r="25" spans="1:3" x14ac:dyDescent="0.4">
      <c r="A25" s="3">
        <v>41764</v>
      </c>
      <c r="B25" t="s">
        <v>25</v>
      </c>
      <c r="C25" t="s">
        <v>16</v>
      </c>
    </row>
    <row r="26" spans="1:3" x14ac:dyDescent="0.4">
      <c r="A26" s="3">
        <v>41765</v>
      </c>
      <c r="B26" t="s">
        <v>27</v>
      </c>
      <c r="C26" t="s">
        <v>14</v>
      </c>
    </row>
    <row r="27" spans="1:3" x14ac:dyDescent="0.4">
      <c r="A27" s="3">
        <v>41841</v>
      </c>
      <c r="B27" t="s">
        <v>28</v>
      </c>
      <c r="C27" t="s">
        <v>16</v>
      </c>
    </row>
    <row r="28" spans="1:3" x14ac:dyDescent="0.4">
      <c r="A28" s="3">
        <v>41897</v>
      </c>
      <c r="B28" t="s">
        <v>29</v>
      </c>
      <c r="C28" t="s">
        <v>16</v>
      </c>
    </row>
    <row r="29" spans="1:3" x14ac:dyDescent="0.4">
      <c r="A29" s="3">
        <v>41905</v>
      </c>
      <c r="B29" t="s">
        <v>30</v>
      </c>
      <c r="C29" t="s">
        <v>14</v>
      </c>
    </row>
    <row r="30" spans="1:3" x14ac:dyDescent="0.4">
      <c r="A30" s="3">
        <v>41925</v>
      </c>
      <c r="B30" t="s">
        <v>31</v>
      </c>
      <c r="C30" t="s">
        <v>16</v>
      </c>
    </row>
    <row r="31" spans="1:3" x14ac:dyDescent="0.4">
      <c r="A31" s="3">
        <v>41946</v>
      </c>
      <c r="B31" t="s">
        <v>32</v>
      </c>
      <c r="C31" t="s">
        <v>16</v>
      </c>
    </row>
    <row r="32" spans="1:3" x14ac:dyDescent="0.4">
      <c r="A32" s="3">
        <v>41966</v>
      </c>
      <c r="B32" t="s">
        <v>33</v>
      </c>
      <c r="C32" t="s">
        <v>26</v>
      </c>
    </row>
    <row r="33" spans="1:3" x14ac:dyDescent="0.4">
      <c r="A33" s="3">
        <v>41967</v>
      </c>
      <c r="B33" t="s">
        <v>27</v>
      </c>
      <c r="C33" t="s">
        <v>16</v>
      </c>
    </row>
    <row r="34" spans="1:3" x14ac:dyDescent="0.4">
      <c r="A34" s="3">
        <v>41996</v>
      </c>
      <c r="B34" t="s">
        <v>34</v>
      </c>
      <c r="C34" t="s">
        <v>14</v>
      </c>
    </row>
    <row r="35" spans="1:3" x14ac:dyDescent="0.4">
      <c r="A35" s="3">
        <v>42005</v>
      </c>
      <c r="B35" t="s">
        <v>13</v>
      </c>
      <c r="C35" t="s">
        <v>35</v>
      </c>
    </row>
    <row r="36" spans="1:3" x14ac:dyDescent="0.4">
      <c r="A36" s="3">
        <v>42016</v>
      </c>
      <c r="B36" t="s">
        <v>15</v>
      </c>
      <c r="C36" t="s">
        <v>16</v>
      </c>
    </row>
    <row r="37" spans="1:3" x14ac:dyDescent="0.4">
      <c r="A37" s="3">
        <v>42046</v>
      </c>
      <c r="B37" t="s">
        <v>17</v>
      </c>
      <c r="C37" t="s">
        <v>19</v>
      </c>
    </row>
    <row r="38" spans="1:3" x14ac:dyDescent="0.4">
      <c r="A38" s="3">
        <v>42084</v>
      </c>
      <c r="B38" t="s">
        <v>18</v>
      </c>
      <c r="C38" t="s">
        <v>24</v>
      </c>
    </row>
    <row r="39" spans="1:3" x14ac:dyDescent="0.4">
      <c r="A39" s="3">
        <v>42123</v>
      </c>
      <c r="B39" t="s">
        <v>20</v>
      </c>
      <c r="C39" t="s">
        <v>19</v>
      </c>
    </row>
    <row r="40" spans="1:3" x14ac:dyDescent="0.4">
      <c r="A40" s="3">
        <v>42127</v>
      </c>
      <c r="B40" t="s">
        <v>21</v>
      </c>
      <c r="C40" t="s">
        <v>26</v>
      </c>
    </row>
    <row r="41" spans="1:3" x14ac:dyDescent="0.4">
      <c r="A41" s="3">
        <v>42128</v>
      </c>
      <c r="B41" t="s">
        <v>23</v>
      </c>
      <c r="C41" t="s">
        <v>16</v>
      </c>
    </row>
    <row r="42" spans="1:3" x14ac:dyDescent="0.4">
      <c r="A42" s="3">
        <v>42129</v>
      </c>
      <c r="B42" t="s">
        <v>25</v>
      </c>
      <c r="C42" t="s">
        <v>14</v>
      </c>
    </row>
    <row r="43" spans="1:3" x14ac:dyDescent="0.4">
      <c r="A43" s="3">
        <v>42130</v>
      </c>
      <c r="B43" t="s">
        <v>27</v>
      </c>
      <c r="C43" t="s">
        <v>19</v>
      </c>
    </row>
    <row r="44" spans="1:3" x14ac:dyDescent="0.4">
      <c r="A44" s="3">
        <v>42205</v>
      </c>
      <c r="B44" t="s">
        <v>28</v>
      </c>
      <c r="C44" t="s">
        <v>16</v>
      </c>
    </row>
    <row r="45" spans="1:3" x14ac:dyDescent="0.4">
      <c r="A45" s="3">
        <v>42268</v>
      </c>
      <c r="B45" t="s">
        <v>29</v>
      </c>
      <c r="C45" t="s">
        <v>16</v>
      </c>
    </row>
    <row r="46" spans="1:3" x14ac:dyDescent="0.4">
      <c r="A46" s="3">
        <v>42269</v>
      </c>
      <c r="B46" t="s">
        <v>36</v>
      </c>
      <c r="C46" t="s">
        <v>14</v>
      </c>
    </row>
    <row r="47" spans="1:3" x14ac:dyDescent="0.4">
      <c r="A47" s="3">
        <v>42270</v>
      </c>
      <c r="B47" t="s">
        <v>30</v>
      </c>
      <c r="C47" t="s">
        <v>19</v>
      </c>
    </row>
    <row r="48" spans="1:3" x14ac:dyDescent="0.4">
      <c r="A48" s="3">
        <v>42289</v>
      </c>
      <c r="B48" t="s">
        <v>31</v>
      </c>
      <c r="C48" t="s">
        <v>16</v>
      </c>
    </row>
    <row r="49" spans="1:3" x14ac:dyDescent="0.4">
      <c r="A49" s="3">
        <v>42311</v>
      </c>
      <c r="B49" t="s">
        <v>32</v>
      </c>
      <c r="C49" t="s">
        <v>14</v>
      </c>
    </row>
    <row r="50" spans="1:3" x14ac:dyDescent="0.4">
      <c r="A50" s="3">
        <v>42331</v>
      </c>
      <c r="B50" t="s">
        <v>33</v>
      </c>
      <c r="C50" t="s">
        <v>16</v>
      </c>
    </row>
    <row r="51" spans="1:3" x14ac:dyDescent="0.4">
      <c r="A51" s="3">
        <v>42361</v>
      </c>
      <c r="B51" t="s">
        <v>34</v>
      </c>
      <c r="C51" t="s">
        <v>19</v>
      </c>
    </row>
    <row r="52" spans="1:3" x14ac:dyDescent="0.4">
      <c r="A52" s="3">
        <v>42370</v>
      </c>
      <c r="B52" t="s">
        <v>13</v>
      </c>
      <c r="C52" t="s">
        <v>22</v>
      </c>
    </row>
    <row r="53" spans="1:3" x14ac:dyDescent="0.4">
      <c r="A53" s="3">
        <v>42380</v>
      </c>
      <c r="B53" t="s">
        <v>15</v>
      </c>
      <c r="C53" t="s">
        <v>16</v>
      </c>
    </row>
    <row r="54" spans="1:3" x14ac:dyDescent="0.4">
      <c r="A54" s="3">
        <v>42411</v>
      </c>
      <c r="B54" t="s">
        <v>17</v>
      </c>
      <c r="C54" t="s">
        <v>35</v>
      </c>
    </row>
    <row r="55" spans="1:3" x14ac:dyDescent="0.4">
      <c r="A55" s="3">
        <v>42449</v>
      </c>
      <c r="B55" t="s">
        <v>18</v>
      </c>
      <c r="C55" t="s">
        <v>26</v>
      </c>
    </row>
    <row r="56" spans="1:3" x14ac:dyDescent="0.4">
      <c r="A56" s="3">
        <v>42450</v>
      </c>
      <c r="B56" t="s">
        <v>27</v>
      </c>
      <c r="C56" t="s">
        <v>16</v>
      </c>
    </row>
    <row r="57" spans="1:3" x14ac:dyDescent="0.4">
      <c r="A57" s="3">
        <v>42489</v>
      </c>
      <c r="B57" t="s">
        <v>20</v>
      </c>
      <c r="C57" t="s">
        <v>22</v>
      </c>
    </row>
    <row r="58" spans="1:3" x14ac:dyDescent="0.4">
      <c r="A58" s="3">
        <v>42493</v>
      </c>
      <c r="B58" t="s">
        <v>21</v>
      </c>
      <c r="C58" t="s">
        <v>14</v>
      </c>
    </row>
    <row r="59" spans="1:3" x14ac:dyDescent="0.4">
      <c r="A59" s="3">
        <v>42494</v>
      </c>
      <c r="B59" t="s">
        <v>23</v>
      </c>
      <c r="C59" t="s">
        <v>19</v>
      </c>
    </row>
    <row r="60" spans="1:3" x14ac:dyDescent="0.4">
      <c r="A60" s="3">
        <v>42495</v>
      </c>
      <c r="B60" t="s">
        <v>25</v>
      </c>
      <c r="C60" t="s">
        <v>35</v>
      </c>
    </row>
    <row r="61" spans="1:3" x14ac:dyDescent="0.4">
      <c r="A61" s="3">
        <v>42569</v>
      </c>
      <c r="B61" t="s">
        <v>28</v>
      </c>
      <c r="C61" t="s">
        <v>16</v>
      </c>
    </row>
    <row r="62" spans="1:3" x14ac:dyDescent="0.4">
      <c r="A62" s="3">
        <v>42593</v>
      </c>
      <c r="B62" t="s">
        <v>37</v>
      </c>
      <c r="C62" t="s">
        <v>35</v>
      </c>
    </row>
    <row r="63" spans="1:3" x14ac:dyDescent="0.4">
      <c r="A63" s="3">
        <v>42632</v>
      </c>
      <c r="B63" t="s">
        <v>29</v>
      </c>
      <c r="C63" t="s">
        <v>16</v>
      </c>
    </row>
    <row r="64" spans="1:3" x14ac:dyDescent="0.4">
      <c r="A64" s="3">
        <v>42635</v>
      </c>
      <c r="B64" t="s">
        <v>30</v>
      </c>
      <c r="C64" t="s">
        <v>35</v>
      </c>
    </row>
    <row r="65" spans="1:3" x14ac:dyDescent="0.4">
      <c r="A65" s="3">
        <v>42653</v>
      </c>
      <c r="B65" t="s">
        <v>31</v>
      </c>
      <c r="C65" t="s">
        <v>16</v>
      </c>
    </row>
    <row r="66" spans="1:3" x14ac:dyDescent="0.4">
      <c r="A66" s="3">
        <v>42677</v>
      </c>
      <c r="B66" t="s">
        <v>32</v>
      </c>
      <c r="C66" t="s">
        <v>35</v>
      </c>
    </row>
    <row r="67" spans="1:3" x14ac:dyDescent="0.4">
      <c r="A67" s="3">
        <v>42697</v>
      </c>
      <c r="B67" t="s">
        <v>33</v>
      </c>
      <c r="C67" t="s">
        <v>19</v>
      </c>
    </row>
    <row r="68" spans="1:3" x14ac:dyDescent="0.4">
      <c r="A68" s="3">
        <v>42727</v>
      </c>
      <c r="B68" t="s">
        <v>34</v>
      </c>
      <c r="C68" t="s">
        <v>22</v>
      </c>
    </row>
    <row r="69" spans="1:3" x14ac:dyDescent="0.4">
      <c r="A69" s="3">
        <v>42736</v>
      </c>
      <c r="B69" t="s">
        <v>13</v>
      </c>
      <c r="C69" t="s">
        <v>26</v>
      </c>
    </row>
    <row r="70" spans="1:3" x14ac:dyDescent="0.4">
      <c r="A70" s="3">
        <v>42737</v>
      </c>
      <c r="B70" t="s">
        <v>27</v>
      </c>
      <c r="C70" t="s">
        <v>16</v>
      </c>
    </row>
    <row r="71" spans="1:3" x14ac:dyDescent="0.4">
      <c r="A71" s="3">
        <v>42744</v>
      </c>
      <c r="B71" t="s">
        <v>15</v>
      </c>
      <c r="C71" t="s">
        <v>16</v>
      </c>
    </row>
    <row r="72" spans="1:3" x14ac:dyDescent="0.4">
      <c r="A72" s="3">
        <v>42777</v>
      </c>
      <c r="B72" t="s">
        <v>17</v>
      </c>
      <c r="C72" t="s">
        <v>24</v>
      </c>
    </row>
    <row r="73" spans="1:3" x14ac:dyDescent="0.4">
      <c r="A73" s="3">
        <v>42814</v>
      </c>
      <c r="B73" t="s">
        <v>18</v>
      </c>
      <c r="C73" t="s">
        <v>16</v>
      </c>
    </row>
    <row r="74" spans="1:3" x14ac:dyDescent="0.4">
      <c r="A74" s="3">
        <v>42854</v>
      </c>
      <c r="B74" t="s">
        <v>20</v>
      </c>
      <c r="C74" t="s">
        <v>24</v>
      </c>
    </row>
    <row r="75" spans="1:3" x14ac:dyDescent="0.4">
      <c r="A75" s="3">
        <v>42858</v>
      </c>
      <c r="B75" t="s">
        <v>21</v>
      </c>
      <c r="C75" t="s">
        <v>19</v>
      </c>
    </row>
    <row r="76" spans="1:3" x14ac:dyDescent="0.4">
      <c r="A76" s="3">
        <v>42859</v>
      </c>
      <c r="B76" t="s">
        <v>23</v>
      </c>
      <c r="C76" t="s">
        <v>35</v>
      </c>
    </row>
    <row r="77" spans="1:3" x14ac:dyDescent="0.4">
      <c r="A77" s="3">
        <v>42860</v>
      </c>
      <c r="B77" t="s">
        <v>25</v>
      </c>
      <c r="C77" t="s">
        <v>22</v>
      </c>
    </row>
    <row r="78" spans="1:3" x14ac:dyDescent="0.4">
      <c r="A78" s="3">
        <v>42933</v>
      </c>
      <c r="B78" t="s">
        <v>28</v>
      </c>
      <c r="C78" t="s">
        <v>16</v>
      </c>
    </row>
    <row r="79" spans="1:3" x14ac:dyDescent="0.4">
      <c r="A79" s="3">
        <v>42958</v>
      </c>
      <c r="B79" t="s">
        <v>37</v>
      </c>
      <c r="C79" t="s">
        <v>22</v>
      </c>
    </row>
    <row r="80" spans="1:3" x14ac:dyDescent="0.4">
      <c r="A80" s="3">
        <v>42996</v>
      </c>
      <c r="B80" t="s">
        <v>29</v>
      </c>
      <c r="C80" t="s">
        <v>16</v>
      </c>
    </row>
    <row r="81" spans="1:3" x14ac:dyDescent="0.4">
      <c r="A81" s="3">
        <v>43001</v>
      </c>
      <c r="B81" t="s">
        <v>30</v>
      </c>
      <c r="C81" t="s">
        <v>24</v>
      </c>
    </row>
    <row r="82" spans="1:3" x14ac:dyDescent="0.4">
      <c r="A82" s="3">
        <v>43017</v>
      </c>
      <c r="B82" t="s">
        <v>31</v>
      </c>
      <c r="C82" t="s">
        <v>16</v>
      </c>
    </row>
    <row r="83" spans="1:3" x14ac:dyDescent="0.4">
      <c r="A83" s="3">
        <v>43042</v>
      </c>
      <c r="B83" t="s">
        <v>32</v>
      </c>
      <c r="C83" t="s">
        <v>22</v>
      </c>
    </row>
    <row r="84" spans="1:3" x14ac:dyDescent="0.4">
      <c r="A84" s="3">
        <v>43062</v>
      </c>
      <c r="B84" t="s">
        <v>33</v>
      </c>
      <c r="C84" t="s">
        <v>35</v>
      </c>
    </row>
    <row r="85" spans="1:3" x14ac:dyDescent="0.4">
      <c r="A85" s="3">
        <v>43092</v>
      </c>
      <c r="B85" t="s">
        <v>34</v>
      </c>
      <c r="C85" t="s">
        <v>24</v>
      </c>
    </row>
    <row r="86" spans="1:3" x14ac:dyDescent="0.4">
      <c r="A86" s="3">
        <v>43101</v>
      </c>
      <c r="B86" t="s">
        <v>13</v>
      </c>
      <c r="C86" t="s">
        <v>16</v>
      </c>
    </row>
    <row r="87" spans="1:3" x14ac:dyDescent="0.4">
      <c r="A87" s="3">
        <v>43108</v>
      </c>
      <c r="B87" t="s">
        <v>15</v>
      </c>
      <c r="C87" t="s">
        <v>16</v>
      </c>
    </row>
    <row r="88" spans="1:3" x14ac:dyDescent="0.4">
      <c r="A88" s="3">
        <v>43142</v>
      </c>
      <c r="B88" t="s">
        <v>17</v>
      </c>
      <c r="C88" t="s">
        <v>26</v>
      </c>
    </row>
    <row r="89" spans="1:3" x14ac:dyDescent="0.4">
      <c r="A89" s="3">
        <v>43143</v>
      </c>
      <c r="B89" t="s">
        <v>27</v>
      </c>
      <c r="C89" t="s">
        <v>16</v>
      </c>
    </row>
    <row r="90" spans="1:3" x14ac:dyDescent="0.4">
      <c r="A90" s="3">
        <v>43180</v>
      </c>
      <c r="B90" t="s">
        <v>18</v>
      </c>
      <c r="C90" t="s">
        <v>19</v>
      </c>
    </row>
    <row r="91" spans="1:3" x14ac:dyDescent="0.4">
      <c r="A91" s="3">
        <v>43219</v>
      </c>
      <c r="B91" t="s">
        <v>20</v>
      </c>
      <c r="C91" t="s">
        <v>26</v>
      </c>
    </row>
    <row r="92" spans="1:3" x14ac:dyDescent="0.4">
      <c r="A92" s="3">
        <v>43220</v>
      </c>
      <c r="B92" t="s">
        <v>27</v>
      </c>
      <c r="C92" t="s">
        <v>16</v>
      </c>
    </row>
    <row r="93" spans="1:3" x14ac:dyDescent="0.4">
      <c r="A93" s="3">
        <v>43223</v>
      </c>
      <c r="B93" t="s">
        <v>21</v>
      </c>
      <c r="C93" t="s">
        <v>35</v>
      </c>
    </row>
    <row r="94" spans="1:3" x14ac:dyDescent="0.4">
      <c r="A94" s="3">
        <v>43224</v>
      </c>
      <c r="B94" t="s">
        <v>23</v>
      </c>
      <c r="C94" t="s">
        <v>22</v>
      </c>
    </row>
    <row r="95" spans="1:3" x14ac:dyDescent="0.4">
      <c r="A95" s="3">
        <v>43225</v>
      </c>
      <c r="B95" t="s">
        <v>25</v>
      </c>
      <c r="C95" t="s">
        <v>24</v>
      </c>
    </row>
    <row r="96" spans="1:3" x14ac:dyDescent="0.4">
      <c r="A96" s="3">
        <v>43297</v>
      </c>
      <c r="B96" t="s">
        <v>28</v>
      </c>
      <c r="C96" t="s">
        <v>16</v>
      </c>
    </row>
    <row r="97" spans="1:3" x14ac:dyDescent="0.4">
      <c r="A97" s="3">
        <v>43323</v>
      </c>
      <c r="B97" t="s">
        <v>37</v>
      </c>
      <c r="C97" t="s">
        <v>24</v>
      </c>
    </row>
    <row r="98" spans="1:3" x14ac:dyDescent="0.4">
      <c r="A98" s="3">
        <v>43360</v>
      </c>
      <c r="B98" t="s">
        <v>29</v>
      </c>
      <c r="C98" t="s">
        <v>16</v>
      </c>
    </row>
    <row r="99" spans="1:3" x14ac:dyDescent="0.4">
      <c r="A99" s="3">
        <v>43366</v>
      </c>
      <c r="B99" t="s">
        <v>30</v>
      </c>
      <c r="C99" t="s">
        <v>26</v>
      </c>
    </row>
    <row r="100" spans="1:3" x14ac:dyDescent="0.4">
      <c r="A100" s="3">
        <v>43367</v>
      </c>
      <c r="B100" t="s">
        <v>27</v>
      </c>
      <c r="C100" t="s">
        <v>16</v>
      </c>
    </row>
    <row r="101" spans="1:3" x14ac:dyDescent="0.4">
      <c r="A101" s="3">
        <v>43381</v>
      </c>
      <c r="B101" t="s">
        <v>31</v>
      </c>
      <c r="C101" t="s">
        <v>16</v>
      </c>
    </row>
    <row r="102" spans="1:3" x14ac:dyDescent="0.4">
      <c r="A102" s="3">
        <v>43407</v>
      </c>
      <c r="B102" t="s">
        <v>32</v>
      </c>
      <c r="C102" t="s">
        <v>24</v>
      </c>
    </row>
    <row r="103" spans="1:3" x14ac:dyDescent="0.4">
      <c r="A103" s="3">
        <v>43427</v>
      </c>
      <c r="B103" t="s">
        <v>33</v>
      </c>
      <c r="C103" t="s">
        <v>22</v>
      </c>
    </row>
    <row r="104" spans="1:3" x14ac:dyDescent="0.4">
      <c r="A104" s="3">
        <v>43457</v>
      </c>
      <c r="B104" t="s">
        <v>34</v>
      </c>
      <c r="C104" t="s">
        <v>26</v>
      </c>
    </row>
    <row r="105" spans="1:3" x14ac:dyDescent="0.4">
      <c r="A105" s="3">
        <v>43458</v>
      </c>
      <c r="B105" t="s">
        <v>27</v>
      </c>
      <c r="C105" t="s">
        <v>16</v>
      </c>
    </row>
    <row r="106" spans="1:3" x14ac:dyDescent="0.4">
      <c r="A106" s="3">
        <v>43466</v>
      </c>
      <c r="B106" t="s">
        <v>13</v>
      </c>
      <c r="C106" t="s">
        <v>14</v>
      </c>
    </row>
    <row r="107" spans="1:3" x14ac:dyDescent="0.4">
      <c r="A107" s="3">
        <v>43479</v>
      </c>
      <c r="B107" t="s">
        <v>15</v>
      </c>
      <c r="C107" t="s">
        <v>16</v>
      </c>
    </row>
    <row r="108" spans="1:3" x14ac:dyDescent="0.4">
      <c r="A108" s="3">
        <v>43507</v>
      </c>
      <c r="B108" t="s">
        <v>17</v>
      </c>
      <c r="C108" t="s">
        <v>16</v>
      </c>
    </row>
    <row r="109" spans="1:3" x14ac:dyDescent="0.4">
      <c r="A109" s="3">
        <v>43545</v>
      </c>
      <c r="B109" t="s">
        <v>18</v>
      </c>
      <c r="C109" t="s">
        <v>35</v>
      </c>
    </row>
    <row r="110" spans="1:3" x14ac:dyDescent="0.4">
      <c r="A110" s="3">
        <v>43584</v>
      </c>
      <c r="B110" t="s">
        <v>20</v>
      </c>
      <c r="C110" t="s">
        <v>16</v>
      </c>
    </row>
    <row r="111" spans="1:3" x14ac:dyDescent="0.4">
      <c r="A111" s="3">
        <v>43588</v>
      </c>
      <c r="B111" t="s">
        <v>21</v>
      </c>
      <c r="C111" t="s">
        <v>22</v>
      </c>
    </row>
    <row r="112" spans="1:3" x14ac:dyDescent="0.4">
      <c r="A112" s="3">
        <v>43589</v>
      </c>
      <c r="B112" t="s">
        <v>23</v>
      </c>
      <c r="C112" t="s">
        <v>24</v>
      </c>
    </row>
    <row r="113" spans="1:3" x14ac:dyDescent="0.4">
      <c r="A113" s="3">
        <v>43590</v>
      </c>
      <c r="B113" t="s">
        <v>25</v>
      </c>
      <c r="C113" t="s">
        <v>26</v>
      </c>
    </row>
    <row r="114" spans="1:3" x14ac:dyDescent="0.4">
      <c r="A114" s="3">
        <v>43591</v>
      </c>
      <c r="B114" t="s">
        <v>27</v>
      </c>
      <c r="C114" t="s">
        <v>16</v>
      </c>
    </row>
    <row r="115" spans="1:3" x14ac:dyDescent="0.4">
      <c r="A115" s="3">
        <v>43661</v>
      </c>
      <c r="B115" t="s">
        <v>28</v>
      </c>
      <c r="C115" t="s">
        <v>16</v>
      </c>
    </row>
    <row r="116" spans="1:3" x14ac:dyDescent="0.4">
      <c r="A116" s="3">
        <v>43688</v>
      </c>
      <c r="B116" t="s">
        <v>37</v>
      </c>
      <c r="C116" t="s">
        <v>26</v>
      </c>
    </row>
    <row r="117" spans="1:3" x14ac:dyDescent="0.4">
      <c r="A117" s="3">
        <v>43689</v>
      </c>
      <c r="B117" t="s">
        <v>27</v>
      </c>
      <c r="C117" t="s">
        <v>16</v>
      </c>
    </row>
    <row r="118" spans="1:3" x14ac:dyDescent="0.4">
      <c r="A118" s="3">
        <v>43724</v>
      </c>
      <c r="B118" t="s">
        <v>29</v>
      </c>
      <c r="C118" t="s">
        <v>16</v>
      </c>
    </row>
    <row r="119" spans="1:3" x14ac:dyDescent="0.4">
      <c r="A119" s="3">
        <v>43731</v>
      </c>
      <c r="B119" t="s">
        <v>30</v>
      </c>
      <c r="C119" t="s">
        <v>16</v>
      </c>
    </row>
    <row r="120" spans="1:3" x14ac:dyDescent="0.4">
      <c r="A120" s="3">
        <v>43752</v>
      </c>
      <c r="B120" t="s">
        <v>31</v>
      </c>
      <c r="C120" t="s">
        <v>16</v>
      </c>
    </row>
    <row r="121" spans="1:3" x14ac:dyDescent="0.4">
      <c r="A121" s="3">
        <v>43772</v>
      </c>
      <c r="B121" t="s">
        <v>32</v>
      </c>
      <c r="C121" t="s">
        <v>26</v>
      </c>
    </row>
    <row r="122" spans="1:3" x14ac:dyDescent="0.4">
      <c r="A122" s="3">
        <v>43773</v>
      </c>
      <c r="B122" t="s">
        <v>27</v>
      </c>
      <c r="C122" t="s">
        <v>16</v>
      </c>
    </row>
    <row r="123" spans="1:3" x14ac:dyDescent="0.4">
      <c r="A123" s="3">
        <v>43792</v>
      </c>
      <c r="B123" t="s">
        <v>33</v>
      </c>
      <c r="C123" t="s">
        <v>24</v>
      </c>
    </row>
    <row r="124" spans="1:3" x14ac:dyDescent="0.4">
      <c r="A124" s="3">
        <v>43822</v>
      </c>
      <c r="B124" t="s">
        <v>34</v>
      </c>
      <c r="C124" t="s">
        <v>16</v>
      </c>
    </row>
    <row r="125" spans="1:3" x14ac:dyDescent="0.4">
      <c r="A125" s="3">
        <v>43831</v>
      </c>
      <c r="B125" t="s">
        <v>13</v>
      </c>
      <c r="C125" t="s">
        <v>19</v>
      </c>
    </row>
    <row r="126" spans="1:3" x14ac:dyDescent="0.4">
      <c r="A126" s="3">
        <v>43843</v>
      </c>
      <c r="B126" t="s">
        <v>15</v>
      </c>
      <c r="C126" t="s">
        <v>16</v>
      </c>
    </row>
    <row r="127" spans="1:3" x14ac:dyDescent="0.4">
      <c r="A127" s="3">
        <v>43872</v>
      </c>
      <c r="B127" t="s">
        <v>17</v>
      </c>
      <c r="C127" t="s">
        <v>14</v>
      </c>
    </row>
    <row r="128" spans="1:3" x14ac:dyDescent="0.4">
      <c r="A128" s="3">
        <v>43910</v>
      </c>
      <c r="B128" t="s">
        <v>18</v>
      </c>
      <c r="C128" t="s">
        <v>22</v>
      </c>
    </row>
    <row r="129" spans="1:3" x14ac:dyDescent="0.4">
      <c r="A129" s="3">
        <v>43950</v>
      </c>
      <c r="B129" t="s">
        <v>20</v>
      </c>
      <c r="C129" t="s">
        <v>19</v>
      </c>
    </row>
    <row r="130" spans="1:3" x14ac:dyDescent="0.4">
      <c r="A130" s="3">
        <v>43954</v>
      </c>
      <c r="B130" t="s">
        <v>21</v>
      </c>
      <c r="C130" t="s">
        <v>26</v>
      </c>
    </row>
    <row r="131" spans="1:3" x14ac:dyDescent="0.4">
      <c r="A131" s="3">
        <v>43955</v>
      </c>
      <c r="B131" t="s">
        <v>23</v>
      </c>
      <c r="C131" t="s">
        <v>16</v>
      </c>
    </row>
    <row r="132" spans="1:3" x14ac:dyDescent="0.4">
      <c r="A132" s="3">
        <v>43956</v>
      </c>
      <c r="B132" t="s">
        <v>25</v>
      </c>
      <c r="C132" t="s">
        <v>14</v>
      </c>
    </row>
    <row r="133" spans="1:3" x14ac:dyDescent="0.4">
      <c r="A133" s="3">
        <v>43957</v>
      </c>
      <c r="B133" t="s">
        <v>27</v>
      </c>
      <c r="C133" t="s">
        <v>19</v>
      </c>
    </row>
    <row r="134" spans="1:3" x14ac:dyDescent="0.4">
      <c r="A134" s="3">
        <v>44032</v>
      </c>
      <c r="B134" t="s">
        <v>28</v>
      </c>
      <c r="C134" t="s">
        <v>16</v>
      </c>
    </row>
    <row r="135" spans="1:3" x14ac:dyDescent="0.4">
      <c r="A135" s="3">
        <v>44054</v>
      </c>
      <c r="B135" t="s">
        <v>37</v>
      </c>
      <c r="C135" t="s">
        <v>14</v>
      </c>
    </row>
    <row r="136" spans="1:3" x14ac:dyDescent="0.4">
      <c r="A136" s="3">
        <v>44095</v>
      </c>
      <c r="B136" t="s">
        <v>29</v>
      </c>
      <c r="C136" t="s">
        <v>16</v>
      </c>
    </row>
    <row r="137" spans="1:3" x14ac:dyDescent="0.4">
      <c r="A137" s="3">
        <v>44096</v>
      </c>
      <c r="B137" t="s">
        <v>30</v>
      </c>
      <c r="C137" t="s">
        <v>14</v>
      </c>
    </row>
    <row r="138" spans="1:3" x14ac:dyDescent="0.4">
      <c r="A138" s="3">
        <v>44116</v>
      </c>
      <c r="B138" t="s">
        <v>31</v>
      </c>
      <c r="C138" t="s">
        <v>16</v>
      </c>
    </row>
    <row r="139" spans="1:3" x14ac:dyDescent="0.4">
      <c r="A139" s="3">
        <v>44138</v>
      </c>
      <c r="B139" t="s">
        <v>32</v>
      </c>
      <c r="C139" t="s">
        <v>14</v>
      </c>
    </row>
    <row r="140" spans="1:3" x14ac:dyDescent="0.4">
      <c r="A140" s="3">
        <v>44158</v>
      </c>
      <c r="B140" t="s">
        <v>33</v>
      </c>
      <c r="C140" t="s">
        <v>16</v>
      </c>
    </row>
    <row r="141" spans="1:3" x14ac:dyDescent="0.4">
      <c r="A141" s="3">
        <v>44188</v>
      </c>
      <c r="B141" t="s">
        <v>34</v>
      </c>
      <c r="C141" t="s">
        <v>19</v>
      </c>
    </row>
    <row r="142" spans="1:3" x14ac:dyDescent="0.4">
      <c r="A142" s="3">
        <v>44197</v>
      </c>
      <c r="B142" t="s">
        <v>13</v>
      </c>
      <c r="C142" t="s">
        <v>22</v>
      </c>
    </row>
    <row r="143" spans="1:3" x14ac:dyDescent="0.4">
      <c r="A143" s="3">
        <v>44207</v>
      </c>
      <c r="B143" t="s">
        <v>15</v>
      </c>
      <c r="C143" t="s">
        <v>16</v>
      </c>
    </row>
    <row r="144" spans="1:3" x14ac:dyDescent="0.4">
      <c r="A144" s="3">
        <v>44238</v>
      </c>
      <c r="B144" t="s">
        <v>17</v>
      </c>
      <c r="C144" t="s">
        <v>35</v>
      </c>
    </row>
    <row r="145" spans="1:3" x14ac:dyDescent="0.4">
      <c r="A145" s="3">
        <v>44275</v>
      </c>
      <c r="B145" t="s">
        <v>18</v>
      </c>
      <c r="C145" t="s">
        <v>24</v>
      </c>
    </row>
    <row r="146" spans="1:3" x14ac:dyDescent="0.4">
      <c r="A146" s="3">
        <v>44315</v>
      </c>
      <c r="B146" t="s">
        <v>20</v>
      </c>
      <c r="C146" t="s">
        <v>35</v>
      </c>
    </row>
    <row r="147" spans="1:3" x14ac:dyDescent="0.4">
      <c r="A147" s="3">
        <v>44319</v>
      </c>
      <c r="B147" t="s">
        <v>21</v>
      </c>
      <c r="C147" t="s">
        <v>16</v>
      </c>
    </row>
    <row r="148" spans="1:3" x14ac:dyDescent="0.4">
      <c r="A148" s="3">
        <v>44320</v>
      </c>
      <c r="B148" t="s">
        <v>23</v>
      </c>
      <c r="C148" t="s">
        <v>14</v>
      </c>
    </row>
    <row r="149" spans="1:3" x14ac:dyDescent="0.4">
      <c r="A149" s="3">
        <v>44321</v>
      </c>
      <c r="B149" t="s">
        <v>25</v>
      </c>
      <c r="C149" t="s">
        <v>19</v>
      </c>
    </row>
    <row r="150" spans="1:3" x14ac:dyDescent="0.4">
      <c r="A150" s="3">
        <v>44396</v>
      </c>
      <c r="B150" t="s">
        <v>28</v>
      </c>
      <c r="C150" t="s">
        <v>16</v>
      </c>
    </row>
    <row r="151" spans="1:3" x14ac:dyDescent="0.4">
      <c r="A151" s="3">
        <v>44419</v>
      </c>
      <c r="B151" t="s">
        <v>37</v>
      </c>
      <c r="C151" t="s">
        <v>19</v>
      </c>
    </row>
    <row r="152" spans="1:3" x14ac:dyDescent="0.4">
      <c r="A152" s="3">
        <v>44459</v>
      </c>
      <c r="B152" t="s">
        <v>29</v>
      </c>
      <c r="C152" t="s">
        <v>16</v>
      </c>
    </row>
    <row r="153" spans="1:3" x14ac:dyDescent="0.4">
      <c r="A153" s="3">
        <v>44462</v>
      </c>
      <c r="B153" t="s">
        <v>30</v>
      </c>
      <c r="C153" t="s">
        <v>35</v>
      </c>
    </row>
    <row r="154" spans="1:3" x14ac:dyDescent="0.4">
      <c r="A154" s="3">
        <v>44480</v>
      </c>
      <c r="B154" t="s">
        <v>31</v>
      </c>
      <c r="C154" t="s">
        <v>16</v>
      </c>
    </row>
    <row r="155" spans="1:3" x14ac:dyDescent="0.4">
      <c r="A155" s="3">
        <v>44503</v>
      </c>
      <c r="B155" t="s">
        <v>32</v>
      </c>
      <c r="C155" t="s">
        <v>19</v>
      </c>
    </row>
    <row r="156" spans="1:3" x14ac:dyDescent="0.4">
      <c r="A156" s="3">
        <v>44523</v>
      </c>
      <c r="B156" t="s">
        <v>33</v>
      </c>
      <c r="C156" t="s">
        <v>14</v>
      </c>
    </row>
    <row r="157" spans="1:3" x14ac:dyDescent="0.4">
      <c r="A157" s="3">
        <v>44553</v>
      </c>
      <c r="B157" t="s">
        <v>34</v>
      </c>
      <c r="C157" t="s">
        <v>35</v>
      </c>
    </row>
    <row r="158" spans="1:3" x14ac:dyDescent="0.4">
      <c r="A158" s="3">
        <v>44562</v>
      </c>
      <c r="B158" t="s">
        <v>13</v>
      </c>
      <c r="C158" t="s">
        <v>24</v>
      </c>
    </row>
    <row r="159" spans="1:3" x14ac:dyDescent="0.4">
      <c r="A159" s="3">
        <v>44571</v>
      </c>
      <c r="B159" t="s">
        <v>15</v>
      </c>
      <c r="C159" t="s">
        <v>16</v>
      </c>
    </row>
    <row r="160" spans="1:3" x14ac:dyDescent="0.4">
      <c r="A160" s="3">
        <v>44603</v>
      </c>
      <c r="B160" t="s">
        <v>17</v>
      </c>
      <c r="C160" t="s">
        <v>22</v>
      </c>
    </row>
    <row r="161" spans="1:3" x14ac:dyDescent="0.4">
      <c r="A161" s="3">
        <v>44641</v>
      </c>
      <c r="B161" t="s">
        <v>18</v>
      </c>
      <c r="C161" t="s">
        <v>16</v>
      </c>
    </row>
    <row r="162" spans="1:3" x14ac:dyDescent="0.4">
      <c r="A162" s="3">
        <v>44680</v>
      </c>
      <c r="B162" t="s">
        <v>20</v>
      </c>
      <c r="C162" t="s">
        <v>22</v>
      </c>
    </row>
    <row r="163" spans="1:3" x14ac:dyDescent="0.4">
      <c r="A163" s="3">
        <v>44684</v>
      </c>
      <c r="B163" t="s">
        <v>21</v>
      </c>
      <c r="C163" t="s">
        <v>14</v>
      </c>
    </row>
    <row r="164" spans="1:3" x14ac:dyDescent="0.4">
      <c r="A164" s="3">
        <v>44685</v>
      </c>
      <c r="B164" t="s">
        <v>23</v>
      </c>
      <c r="C164" t="s">
        <v>19</v>
      </c>
    </row>
    <row r="165" spans="1:3" x14ac:dyDescent="0.4">
      <c r="A165" s="3">
        <v>44686</v>
      </c>
      <c r="B165" t="s">
        <v>25</v>
      </c>
      <c r="C165" t="s">
        <v>35</v>
      </c>
    </row>
    <row r="166" spans="1:3" x14ac:dyDescent="0.4">
      <c r="A166" s="3">
        <v>44760</v>
      </c>
      <c r="B166" t="s">
        <v>28</v>
      </c>
      <c r="C166" t="s">
        <v>16</v>
      </c>
    </row>
    <row r="167" spans="1:3" x14ac:dyDescent="0.4">
      <c r="A167" s="3">
        <v>44784</v>
      </c>
      <c r="B167" t="s">
        <v>37</v>
      </c>
      <c r="C167" t="s">
        <v>35</v>
      </c>
    </row>
    <row r="168" spans="1:3" x14ac:dyDescent="0.4">
      <c r="A168" s="3">
        <v>44823</v>
      </c>
      <c r="B168" t="s">
        <v>29</v>
      </c>
      <c r="C168" t="s">
        <v>16</v>
      </c>
    </row>
    <row r="169" spans="1:3" x14ac:dyDescent="0.4">
      <c r="A169" s="3">
        <v>44827</v>
      </c>
      <c r="B169" t="s">
        <v>30</v>
      </c>
      <c r="C169" t="s">
        <v>22</v>
      </c>
    </row>
    <row r="170" spans="1:3" x14ac:dyDescent="0.4">
      <c r="A170" s="3">
        <v>44844</v>
      </c>
      <c r="B170" t="s">
        <v>31</v>
      </c>
      <c r="C170" t="s">
        <v>16</v>
      </c>
    </row>
    <row r="171" spans="1:3" x14ac:dyDescent="0.4">
      <c r="A171" s="3">
        <v>44868</v>
      </c>
      <c r="B171" t="s">
        <v>32</v>
      </c>
      <c r="C171" t="s">
        <v>35</v>
      </c>
    </row>
    <row r="172" spans="1:3" x14ac:dyDescent="0.4">
      <c r="A172" s="3">
        <v>44888</v>
      </c>
      <c r="B172" t="s">
        <v>33</v>
      </c>
      <c r="C172" t="s">
        <v>19</v>
      </c>
    </row>
    <row r="173" spans="1:3" x14ac:dyDescent="0.4">
      <c r="A173" s="3">
        <v>44918</v>
      </c>
      <c r="B173" t="s">
        <v>34</v>
      </c>
      <c r="C173" t="s">
        <v>22</v>
      </c>
    </row>
    <row r="174" spans="1:3" x14ac:dyDescent="0.4">
      <c r="A174" s="3">
        <v>44927</v>
      </c>
      <c r="B174" t="s">
        <v>13</v>
      </c>
      <c r="C174" t="s">
        <v>26</v>
      </c>
    </row>
    <row r="175" spans="1:3" x14ac:dyDescent="0.4">
      <c r="A175" s="3">
        <v>44928</v>
      </c>
      <c r="B175" t="s">
        <v>27</v>
      </c>
      <c r="C175" t="s">
        <v>16</v>
      </c>
    </row>
    <row r="176" spans="1:3" x14ac:dyDescent="0.4">
      <c r="A176" s="3">
        <v>44935</v>
      </c>
      <c r="B176" t="s">
        <v>15</v>
      </c>
      <c r="C176" t="s">
        <v>16</v>
      </c>
    </row>
    <row r="177" spans="1:3" x14ac:dyDescent="0.4">
      <c r="A177" s="3">
        <v>44968</v>
      </c>
      <c r="B177" t="s">
        <v>17</v>
      </c>
      <c r="C177" t="s">
        <v>24</v>
      </c>
    </row>
    <row r="178" spans="1:3" x14ac:dyDescent="0.4">
      <c r="A178" s="3">
        <v>45006</v>
      </c>
      <c r="B178" t="s">
        <v>18</v>
      </c>
      <c r="C178" t="s">
        <v>14</v>
      </c>
    </row>
    <row r="179" spans="1:3" x14ac:dyDescent="0.4">
      <c r="A179" s="3">
        <v>45045</v>
      </c>
      <c r="B179" t="s">
        <v>20</v>
      </c>
      <c r="C179" t="s">
        <v>24</v>
      </c>
    </row>
    <row r="180" spans="1:3" x14ac:dyDescent="0.4">
      <c r="A180" s="3">
        <v>45049</v>
      </c>
      <c r="B180" t="s">
        <v>21</v>
      </c>
      <c r="C180" t="s">
        <v>19</v>
      </c>
    </row>
    <row r="181" spans="1:3" x14ac:dyDescent="0.4">
      <c r="A181" s="3">
        <v>45050</v>
      </c>
      <c r="B181" t="s">
        <v>23</v>
      </c>
      <c r="C181" t="s">
        <v>35</v>
      </c>
    </row>
    <row r="182" spans="1:3" x14ac:dyDescent="0.4">
      <c r="A182" s="3">
        <v>45051</v>
      </c>
      <c r="B182" t="s">
        <v>25</v>
      </c>
      <c r="C182" t="s">
        <v>22</v>
      </c>
    </row>
    <row r="183" spans="1:3" x14ac:dyDescent="0.4">
      <c r="A183" s="3">
        <v>45124</v>
      </c>
      <c r="B183" t="s">
        <v>28</v>
      </c>
      <c r="C183" t="s">
        <v>16</v>
      </c>
    </row>
    <row r="184" spans="1:3" x14ac:dyDescent="0.4">
      <c r="A184" s="3">
        <v>45149</v>
      </c>
      <c r="B184" t="s">
        <v>37</v>
      </c>
      <c r="C184" t="s">
        <v>22</v>
      </c>
    </row>
    <row r="185" spans="1:3" x14ac:dyDescent="0.4">
      <c r="A185" s="3">
        <v>45187</v>
      </c>
      <c r="B185" t="s">
        <v>29</v>
      </c>
      <c r="C185" t="s">
        <v>16</v>
      </c>
    </row>
    <row r="186" spans="1:3" x14ac:dyDescent="0.4">
      <c r="A186" s="3">
        <v>45192</v>
      </c>
      <c r="B186" t="s">
        <v>30</v>
      </c>
      <c r="C186" t="s">
        <v>24</v>
      </c>
    </row>
    <row r="187" spans="1:3" x14ac:dyDescent="0.4">
      <c r="A187" s="3">
        <v>45208</v>
      </c>
      <c r="B187" t="s">
        <v>31</v>
      </c>
      <c r="C187" t="s">
        <v>16</v>
      </c>
    </row>
    <row r="188" spans="1:3" x14ac:dyDescent="0.4">
      <c r="A188" s="3">
        <v>45233</v>
      </c>
      <c r="B188" t="s">
        <v>32</v>
      </c>
      <c r="C188" t="s">
        <v>22</v>
      </c>
    </row>
    <row r="189" spans="1:3" x14ac:dyDescent="0.4">
      <c r="A189" s="3">
        <v>45253</v>
      </c>
      <c r="B189" t="s">
        <v>33</v>
      </c>
      <c r="C189" t="s">
        <v>35</v>
      </c>
    </row>
    <row r="190" spans="1:3" x14ac:dyDescent="0.4">
      <c r="A190" s="3">
        <v>45283</v>
      </c>
      <c r="B190" t="s">
        <v>34</v>
      </c>
      <c r="C190" t="s">
        <v>24</v>
      </c>
    </row>
    <row r="191" spans="1:3" x14ac:dyDescent="0.4">
      <c r="A191" s="3">
        <v>45292</v>
      </c>
      <c r="B191" t="s">
        <v>13</v>
      </c>
      <c r="C191" t="s">
        <v>16</v>
      </c>
    </row>
    <row r="192" spans="1:3" x14ac:dyDescent="0.4">
      <c r="A192" s="3">
        <v>45299</v>
      </c>
      <c r="B192" t="s">
        <v>15</v>
      </c>
      <c r="C192" t="s">
        <v>16</v>
      </c>
    </row>
    <row r="193" spans="1:3" x14ac:dyDescent="0.4">
      <c r="A193" s="3">
        <v>45333</v>
      </c>
      <c r="B193" t="s">
        <v>17</v>
      </c>
      <c r="C193" t="s">
        <v>26</v>
      </c>
    </row>
    <row r="194" spans="1:3" x14ac:dyDescent="0.4">
      <c r="A194" s="3">
        <v>45334</v>
      </c>
      <c r="B194" t="s">
        <v>27</v>
      </c>
      <c r="C194" t="s">
        <v>16</v>
      </c>
    </row>
    <row r="195" spans="1:3" x14ac:dyDescent="0.4">
      <c r="A195" s="3">
        <v>45371</v>
      </c>
      <c r="B195" t="s">
        <v>18</v>
      </c>
      <c r="C195" t="s">
        <v>19</v>
      </c>
    </row>
    <row r="196" spans="1:3" x14ac:dyDescent="0.4">
      <c r="A196" s="3">
        <v>45411</v>
      </c>
      <c r="B196" t="s">
        <v>20</v>
      </c>
      <c r="C196" t="s">
        <v>16</v>
      </c>
    </row>
    <row r="197" spans="1:3" x14ac:dyDescent="0.4">
      <c r="A197" s="3">
        <v>45415</v>
      </c>
      <c r="B197" t="s">
        <v>21</v>
      </c>
      <c r="C197" t="s">
        <v>22</v>
      </c>
    </row>
    <row r="198" spans="1:3" x14ac:dyDescent="0.4">
      <c r="A198" s="3">
        <v>45416</v>
      </c>
      <c r="B198" t="s">
        <v>23</v>
      </c>
      <c r="C198" t="s">
        <v>24</v>
      </c>
    </row>
    <row r="199" spans="1:3" x14ac:dyDescent="0.4">
      <c r="A199" s="3">
        <v>45417</v>
      </c>
      <c r="B199" t="s">
        <v>25</v>
      </c>
      <c r="C199" t="s">
        <v>26</v>
      </c>
    </row>
    <row r="200" spans="1:3" x14ac:dyDescent="0.4">
      <c r="A200" s="3">
        <v>45418</v>
      </c>
      <c r="B200" t="s">
        <v>27</v>
      </c>
      <c r="C200" t="s">
        <v>16</v>
      </c>
    </row>
    <row r="201" spans="1:3" x14ac:dyDescent="0.4">
      <c r="A201" s="3">
        <v>45488</v>
      </c>
      <c r="B201" t="s">
        <v>28</v>
      </c>
      <c r="C201" t="s">
        <v>16</v>
      </c>
    </row>
    <row r="202" spans="1:3" x14ac:dyDescent="0.4">
      <c r="A202" s="3">
        <v>45515</v>
      </c>
      <c r="B202" t="s">
        <v>37</v>
      </c>
      <c r="C202" t="s">
        <v>26</v>
      </c>
    </row>
    <row r="203" spans="1:3" x14ac:dyDescent="0.4">
      <c r="A203" s="3">
        <v>45516</v>
      </c>
      <c r="B203" t="s">
        <v>27</v>
      </c>
      <c r="C203" t="s">
        <v>16</v>
      </c>
    </row>
    <row r="204" spans="1:3" x14ac:dyDescent="0.4">
      <c r="A204" s="3">
        <v>45551</v>
      </c>
      <c r="B204" t="s">
        <v>29</v>
      </c>
      <c r="C204" t="s">
        <v>16</v>
      </c>
    </row>
    <row r="205" spans="1:3" x14ac:dyDescent="0.4">
      <c r="A205" s="3">
        <v>45557</v>
      </c>
      <c r="B205" t="s">
        <v>30</v>
      </c>
      <c r="C205" t="s">
        <v>26</v>
      </c>
    </row>
    <row r="206" spans="1:3" x14ac:dyDescent="0.4">
      <c r="A206" s="3">
        <v>45558</v>
      </c>
      <c r="B206" t="s">
        <v>27</v>
      </c>
      <c r="C206" t="s">
        <v>16</v>
      </c>
    </row>
    <row r="207" spans="1:3" x14ac:dyDescent="0.4">
      <c r="A207" s="3">
        <v>45579</v>
      </c>
      <c r="B207" t="s">
        <v>31</v>
      </c>
      <c r="C207" t="s">
        <v>16</v>
      </c>
    </row>
    <row r="208" spans="1:3" x14ac:dyDescent="0.4">
      <c r="A208" s="3">
        <v>45599</v>
      </c>
      <c r="B208" t="s">
        <v>32</v>
      </c>
      <c r="C208" t="s">
        <v>26</v>
      </c>
    </row>
    <row r="209" spans="1:3" x14ac:dyDescent="0.4">
      <c r="A209" s="3">
        <v>45600</v>
      </c>
      <c r="B209" t="s">
        <v>27</v>
      </c>
      <c r="C209" t="s">
        <v>16</v>
      </c>
    </row>
    <row r="210" spans="1:3" x14ac:dyDescent="0.4">
      <c r="A210" s="3">
        <v>45619</v>
      </c>
      <c r="B210" t="s">
        <v>33</v>
      </c>
      <c r="C210" t="s">
        <v>24</v>
      </c>
    </row>
    <row r="211" spans="1:3" x14ac:dyDescent="0.4">
      <c r="A211" s="3">
        <v>45649</v>
      </c>
      <c r="B211" t="s">
        <v>34</v>
      </c>
      <c r="C211" t="s">
        <v>16</v>
      </c>
    </row>
    <row r="212" spans="1:3" x14ac:dyDescent="0.4">
      <c r="A212" s="3">
        <v>45658</v>
      </c>
      <c r="B212" t="s">
        <v>13</v>
      </c>
      <c r="C212" t="s">
        <v>19</v>
      </c>
    </row>
    <row r="213" spans="1:3" x14ac:dyDescent="0.4">
      <c r="A213" s="3">
        <v>45670</v>
      </c>
      <c r="B213" t="s">
        <v>15</v>
      </c>
      <c r="C213" t="s">
        <v>16</v>
      </c>
    </row>
    <row r="214" spans="1:3" x14ac:dyDescent="0.4">
      <c r="A214" s="3">
        <v>45699</v>
      </c>
      <c r="B214" t="s">
        <v>17</v>
      </c>
      <c r="C214" t="s">
        <v>14</v>
      </c>
    </row>
    <row r="215" spans="1:3" x14ac:dyDescent="0.4">
      <c r="A215" s="3">
        <v>45736</v>
      </c>
      <c r="B215" t="s">
        <v>18</v>
      </c>
      <c r="C215" t="s">
        <v>35</v>
      </c>
    </row>
    <row r="216" spans="1:3" x14ac:dyDescent="0.4">
      <c r="A216" s="3">
        <v>45776</v>
      </c>
      <c r="B216" t="s">
        <v>20</v>
      </c>
      <c r="C216" t="s">
        <v>14</v>
      </c>
    </row>
    <row r="217" spans="1:3" x14ac:dyDescent="0.4">
      <c r="A217" s="3">
        <v>45780</v>
      </c>
      <c r="B217" t="s">
        <v>21</v>
      </c>
      <c r="C217" t="s">
        <v>24</v>
      </c>
    </row>
    <row r="218" spans="1:3" x14ac:dyDescent="0.4">
      <c r="A218" s="3">
        <v>45781</v>
      </c>
      <c r="B218" t="s">
        <v>23</v>
      </c>
      <c r="C218" t="s">
        <v>26</v>
      </c>
    </row>
    <row r="219" spans="1:3" x14ac:dyDescent="0.4">
      <c r="A219" s="3">
        <v>45782</v>
      </c>
      <c r="B219" t="s">
        <v>25</v>
      </c>
      <c r="C219" t="s">
        <v>16</v>
      </c>
    </row>
    <row r="220" spans="1:3" x14ac:dyDescent="0.4">
      <c r="A220" s="3">
        <v>45783</v>
      </c>
      <c r="B220" t="s">
        <v>27</v>
      </c>
      <c r="C220" t="s">
        <v>14</v>
      </c>
    </row>
    <row r="221" spans="1:3" x14ac:dyDescent="0.4">
      <c r="A221" s="3">
        <v>45859</v>
      </c>
      <c r="B221" t="s">
        <v>28</v>
      </c>
      <c r="C221" t="s">
        <v>16</v>
      </c>
    </row>
    <row r="222" spans="1:3" x14ac:dyDescent="0.4">
      <c r="A222" s="3">
        <v>45880</v>
      </c>
      <c r="B222" t="s">
        <v>37</v>
      </c>
      <c r="C222" t="s">
        <v>16</v>
      </c>
    </row>
    <row r="223" spans="1:3" x14ac:dyDescent="0.4">
      <c r="A223" s="3">
        <v>45915</v>
      </c>
      <c r="B223" t="s">
        <v>29</v>
      </c>
      <c r="C223" t="s">
        <v>16</v>
      </c>
    </row>
    <row r="224" spans="1:3" x14ac:dyDescent="0.4">
      <c r="A224" s="3">
        <v>45923</v>
      </c>
      <c r="B224" t="s">
        <v>30</v>
      </c>
      <c r="C224" t="s">
        <v>14</v>
      </c>
    </row>
    <row r="225" spans="1:3" x14ac:dyDescent="0.4">
      <c r="A225" s="3">
        <v>45943</v>
      </c>
      <c r="B225" t="s">
        <v>31</v>
      </c>
      <c r="C225" t="s">
        <v>16</v>
      </c>
    </row>
    <row r="226" spans="1:3" x14ac:dyDescent="0.4">
      <c r="A226" s="3">
        <v>45964</v>
      </c>
      <c r="B226" t="s">
        <v>32</v>
      </c>
      <c r="C226" t="s">
        <v>16</v>
      </c>
    </row>
    <row r="227" spans="1:3" x14ac:dyDescent="0.4">
      <c r="A227" s="3">
        <v>45984</v>
      </c>
      <c r="B227" t="s">
        <v>33</v>
      </c>
      <c r="C227" t="s">
        <v>26</v>
      </c>
    </row>
    <row r="228" spans="1:3" x14ac:dyDescent="0.4">
      <c r="A228" s="3">
        <v>45985</v>
      </c>
      <c r="B228" t="s">
        <v>27</v>
      </c>
      <c r="C228" t="s">
        <v>16</v>
      </c>
    </row>
    <row r="229" spans="1:3" x14ac:dyDescent="0.4">
      <c r="A229" s="3">
        <v>46014</v>
      </c>
      <c r="B229" t="s">
        <v>34</v>
      </c>
      <c r="C229" t="s">
        <v>14</v>
      </c>
    </row>
    <row r="230" spans="1:3" x14ac:dyDescent="0.4">
      <c r="A230" s="3">
        <v>46023</v>
      </c>
      <c r="B230" t="s">
        <v>13</v>
      </c>
      <c r="C230" t="s">
        <v>35</v>
      </c>
    </row>
    <row r="231" spans="1:3" x14ac:dyDescent="0.4">
      <c r="A231" s="3">
        <v>46034</v>
      </c>
      <c r="B231" t="s">
        <v>15</v>
      </c>
      <c r="C231" t="s">
        <v>16</v>
      </c>
    </row>
    <row r="232" spans="1:3" x14ac:dyDescent="0.4">
      <c r="A232" s="3">
        <v>46064</v>
      </c>
      <c r="B232" t="s">
        <v>17</v>
      </c>
      <c r="C232" t="s">
        <v>19</v>
      </c>
    </row>
    <row r="233" spans="1:3" x14ac:dyDescent="0.4">
      <c r="A233" s="3">
        <v>46101</v>
      </c>
      <c r="B233" t="s">
        <v>18</v>
      </c>
      <c r="C233" t="s">
        <v>22</v>
      </c>
    </row>
    <row r="234" spans="1:3" x14ac:dyDescent="0.4">
      <c r="A234" s="3">
        <v>46141</v>
      </c>
      <c r="B234" t="s">
        <v>20</v>
      </c>
      <c r="C234" t="s">
        <v>19</v>
      </c>
    </row>
    <row r="235" spans="1:3" x14ac:dyDescent="0.4">
      <c r="A235" s="3">
        <v>46145</v>
      </c>
      <c r="B235" t="s">
        <v>21</v>
      </c>
      <c r="C235" t="s">
        <v>26</v>
      </c>
    </row>
    <row r="236" spans="1:3" x14ac:dyDescent="0.4">
      <c r="A236" s="3">
        <v>46146</v>
      </c>
      <c r="B236" t="s">
        <v>23</v>
      </c>
      <c r="C236" t="s">
        <v>16</v>
      </c>
    </row>
    <row r="237" spans="1:3" x14ac:dyDescent="0.4">
      <c r="A237" s="3">
        <v>46147</v>
      </c>
      <c r="B237" t="s">
        <v>25</v>
      </c>
      <c r="C237" t="s">
        <v>14</v>
      </c>
    </row>
    <row r="238" spans="1:3" x14ac:dyDescent="0.4">
      <c r="A238" s="3">
        <v>46148</v>
      </c>
      <c r="B238" t="s">
        <v>27</v>
      </c>
      <c r="C238" t="s">
        <v>19</v>
      </c>
    </row>
    <row r="239" spans="1:3" x14ac:dyDescent="0.4">
      <c r="A239" s="3">
        <v>46223</v>
      </c>
      <c r="B239" t="s">
        <v>28</v>
      </c>
      <c r="C239" t="s">
        <v>16</v>
      </c>
    </row>
    <row r="240" spans="1:3" x14ac:dyDescent="0.4">
      <c r="A240" s="3">
        <v>46245</v>
      </c>
      <c r="B240" t="s">
        <v>37</v>
      </c>
      <c r="C240" t="s">
        <v>14</v>
      </c>
    </row>
    <row r="241" spans="1:3" x14ac:dyDescent="0.4">
      <c r="A241" s="3">
        <v>46286</v>
      </c>
      <c r="B241" t="s">
        <v>29</v>
      </c>
      <c r="C241" t="s">
        <v>16</v>
      </c>
    </row>
    <row r="242" spans="1:3" x14ac:dyDescent="0.4">
      <c r="A242" s="3">
        <v>46287</v>
      </c>
      <c r="B242" t="s">
        <v>36</v>
      </c>
      <c r="C242" t="s">
        <v>14</v>
      </c>
    </row>
    <row r="243" spans="1:3" x14ac:dyDescent="0.4">
      <c r="A243" s="3">
        <v>46288</v>
      </c>
      <c r="B243" t="s">
        <v>30</v>
      </c>
      <c r="C243" t="s">
        <v>19</v>
      </c>
    </row>
    <row r="244" spans="1:3" x14ac:dyDescent="0.4">
      <c r="A244" s="3">
        <v>46307</v>
      </c>
      <c r="B244" t="s">
        <v>31</v>
      </c>
      <c r="C244" t="s">
        <v>16</v>
      </c>
    </row>
    <row r="245" spans="1:3" x14ac:dyDescent="0.4">
      <c r="A245" s="3">
        <v>46329</v>
      </c>
      <c r="B245" t="s">
        <v>32</v>
      </c>
      <c r="C245" t="s">
        <v>14</v>
      </c>
    </row>
    <row r="246" spans="1:3" x14ac:dyDescent="0.4">
      <c r="A246" s="3">
        <v>46349</v>
      </c>
      <c r="B246" t="s">
        <v>33</v>
      </c>
      <c r="C246" t="s">
        <v>16</v>
      </c>
    </row>
    <row r="247" spans="1:3" x14ac:dyDescent="0.4">
      <c r="A247" s="3">
        <v>46379</v>
      </c>
      <c r="B247" t="s">
        <v>34</v>
      </c>
      <c r="C247" t="s">
        <v>19</v>
      </c>
    </row>
    <row r="248" spans="1:3" x14ac:dyDescent="0.4">
      <c r="A248" s="3">
        <v>46388</v>
      </c>
      <c r="B248" t="s">
        <v>13</v>
      </c>
      <c r="C248" t="s">
        <v>22</v>
      </c>
    </row>
    <row r="249" spans="1:3" x14ac:dyDescent="0.4">
      <c r="A249" s="3">
        <v>46398</v>
      </c>
      <c r="B249" t="s">
        <v>15</v>
      </c>
      <c r="C249" t="s">
        <v>16</v>
      </c>
    </row>
    <row r="250" spans="1:3" x14ac:dyDescent="0.4">
      <c r="A250" s="3">
        <v>46429</v>
      </c>
      <c r="B250" t="s">
        <v>17</v>
      </c>
      <c r="C250" t="s">
        <v>35</v>
      </c>
    </row>
    <row r="251" spans="1:3" x14ac:dyDescent="0.4">
      <c r="A251" s="3">
        <v>46467</v>
      </c>
      <c r="B251" t="s">
        <v>18</v>
      </c>
      <c r="C251" t="s">
        <v>26</v>
      </c>
    </row>
    <row r="252" spans="1:3" x14ac:dyDescent="0.4">
      <c r="A252" s="3">
        <v>46468</v>
      </c>
      <c r="B252" t="s">
        <v>27</v>
      </c>
      <c r="C252" t="s">
        <v>16</v>
      </c>
    </row>
    <row r="253" spans="1:3" x14ac:dyDescent="0.4">
      <c r="A253" s="3">
        <v>46506</v>
      </c>
      <c r="B253" t="s">
        <v>20</v>
      </c>
      <c r="C253" t="s">
        <v>35</v>
      </c>
    </row>
    <row r="254" spans="1:3" x14ac:dyDescent="0.4">
      <c r="A254" s="3">
        <v>46510</v>
      </c>
      <c r="B254" t="s">
        <v>21</v>
      </c>
      <c r="C254" t="s">
        <v>16</v>
      </c>
    </row>
    <row r="255" spans="1:3" x14ac:dyDescent="0.4">
      <c r="A255" s="3">
        <v>46511</v>
      </c>
      <c r="B255" t="s">
        <v>23</v>
      </c>
      <c r="C255" t="s">
        <v>14</v>
      </c>
    </row>
    <row r="256" spans="1:3" x14ac:dyDescent="0.4">
      <c r="A256" s="3">
        <v>46512</v>
      </c>
      <c r="B256" t="s">
        <v>25</v>
      </c>
      <c r="C256" t="s">
        <v>19</v>
      </c>
    </row>
    <row r="257" spans="1:3" x14ac:dyDescent="0.4">
      <c r="A257" s="3">
        <v>46587</v>
      </c>
      <c r="B257" t="s">
        <v>28</v>
      </c>
      <c r="C257" t="s">
        <v>16</v>
      </c>
    </row>
    <row r="258" spans="1:3" x14ac:dyDescent="0.4">
      <c r="A258" s="3">
        <v>46610</v>
      </c>
      <c r="B258" t="s">
        <v>37</v>
      </c>
      <c r="C258" t="s">
        <v>19</v>
      </c>
    </row>
    <row r="259" spans="1:3" x14ac:dyDescent="0.4">
      <c r="A259" s="3">
        <v>46650</v>
      </c>
      <c r="B259" t="s">
        <v>29</v>
      </c>
      <c r="C259" t="s">
        <v>16</v>
      </c>
    </row>
    <row r="260" spans="1:3" x14ac:dyDescent="0.4">
      <c r="A260" s="3">
        <v>46653</v>
      </c>
      <c r="B260" t="s">
        <v>30</v>
      </c>
      <c r="C260" t="s">
        <v>35</v>
      </c>
    </row>
    <row r="261" spans="1:3" x14ac:dyDescent="0.4">
      <c r="A261" s="3">
        <v>46671</v>
      </c>
      <c r="B261" t="s">
        <v>31</v>
      </c>
      <c r="C261" t="s">
        <v>16</v>
      </c>
    </row>
    <row r="262" spans="1:3" x14ac:dyDescent="0.4">
      <c r="A262" s="3">
        <v>46694</v>
      </c>
      <c r="B262" t="s">
        <v>32</v>
      </c>
      <c r="C262" t="s">
        <v>19</v>
      </c>
    </row>
    <row r="263" spans="1:3" x14ac:dyDescent="0.4">
      <c r="A263" s="3">
        <v>46714</v>
      </c>
      <c r="B263" t="s">
        <v>33</v>
      </c>
      <c r="C263" t="s">
        <v>14</v>
      </c>
    </row>
    <row r="264" spans="1:3" x14ac:dyDescent="0.4">
      <c r="A264" s="3">
        <v>46744</v>
      </c>
      <c r="B264" t="s">
        <v>34</v>
      </c>
      <c r="C264" t="s">
        <v>35</v>
      </c>
    </row>
    <row r="265" spans="1:3" x14ac:dyDescent="0.4">
      <c r="A265" s="3">
        <v>46753</v>
      </c>
      <c r="B265" t="s">
        <v>13</v>
      </c>
      <c r="C265" t="s">
        <v>24</v>
      </c>
    </row>
    <row r="266" spans="1:3" x14ac:dyDescent="0.4">
      <c r="A266" s="3">
        <v>46762</v>
      </c>
      <c r="B266" t="s">
        <v>15</v>
      </c>
      <c r="C266" t="s">
        <v>16</v>
      </c>
    </row>
    <row r="267" spans="1:3" x14ac:dyDescent="0.4">
      <c r="A267" s="3">
        <v>46794</v>
      </c>
      <c r="B267" t="s">
        <v>17</v>
      </c>
      <c r="C267" t="s">
        <v>22</v>
      </c>
    </row>
    <row r="268" spans="1:3" x14ac:dyDescent="0.4">
      <c r="A268" s="3">
        <v>46832</v>
      </c>
      <c r="B268" t="s">
        <v>18</v>
      </c>
      <c r="C268" t="s">
        <v>16</v>
      </c>
    </row>
    <row r="269" spans="1:3" x14ac:dyDescent="0.4">
      <c r="A269" s="3">
        <v>46872</v>
      </c>
      <c r="B269" t="s">
        <v>20</v>
      </c>
      <c r="C269" t="s">
        <v>24</v>
      </c>
    </row>
    <row r="270" spans="1:3" x14ac:dyDescent="0.4">
      <c r="A270" s="3">
        <v>46876</v>
      </c>
      <c r="B270" t="s">
        <v>21</v>
      </c>
      <c r="C270" t="s">
        <v>19</v>
      </c>
    </row>
    <row r="271" spans="1:3" x14ac:dyDescent="0.4">
      <c r="A271" s="3">
        <v>46877</v>
      </c>
      <c r="B271" t="s">
        <v>23</v>
      </c>
      <c r="C271" t="s">
        <v>35</v>
      </c>
    </row>
    <row r="272" spans="1:3" x14ac:dyDescent="0.4">
      <c r="A272" s="3">
        <v>46878</v>
      </c>
      <c r="B272" t="s">
        <v>25</v>
      </c>
      <c r="C272" t="s">
        <v>22</v>
      </c>
    </row>
    <row r="273" spans="1:3" x14ac:dyDescent="0.4">
      <c r="A273" s="3">
        <v>46951</v>
      </c>
      <c r="B273" t="s">
        <v>28</v>
      </c>
      <c r="C273" t="s">
        <v>16</v>
      </c>
    </row>
    <row r="274" spans="1:3" x14ac:dyDescent="0.4">
      <c r="A274" s="3">
        <v>46976</v>
      </c>
      <c r="B274" t="s">
        <v>37</v>
      </c>
      <c r="C274" t="s">
        <v>22</v>
      </c>
    </row>
    <row r="275" spans="1:3" x14ac:dyDescent="0.4">
      <c r="A275" s="3">
        <v>47014</v>
      </c>
      <c r="B275" t="s">
        <v>29</v>
      </c>
      <c r="C275" t="s">
        <v>16</v>
      </c>
    </row>
    <row r="276" spans="1:3" x14ac:dyDescent="0.4">
      <c r="A276" s="3">
        <v>47018</v>
      </c>
      <c r="B276" t="s">
        <v>30</v>
      </c>
      <c r="C276" t="s">
        <v>22</v>
      </c>
    </row>
    <row r="277" spans="1:3" x14ac:dyDescent="0.4">
      <c r="A277" s="3">
        <v>47035</v>
      </c>
      <c r="B277" t="s">
        <v>31</v>
      </c>
      <c r="C277" t="s">
        <v>16</v>
      </c>
    </row>
    <row r="278" spans="1:3" x14ac:dyDescent="0.4">
      <c r="A278" s="3">
        <v>47060</v>
      </c>
      <c r="B278" t="s">
        <v>32</v>
      </c>
      <c r="C278" t="s">
        <v>22</v>
      </c>
    </row>
    <row r="279" spans="1:3" x14ac:dyDescent="0.4">
      <c r="A279" s="3">
        <v>47080</v>
      </c>
      <c r="B279" t="s">
        <v>33</v>
      </c>
      <c r="C279" t="s">
        <v>35</v>
      </c>
    </row>
    <row r="280" spans="1:3" x14ac:dyDescent="0.4">
      <c r="A280" s="3">
        <v>47110</v>
      </c>
      <c r="B280" t="s">
        <v>34</v>
      </c>
      <c r="C280" t="s">
        <v>24</v>
      </c>
    </row>
    <row r="281" spans="1:3" x14ac:dyDescent="0.4">
      <c r="A281" s="3">
        <v>47119</v>
      </c>
      <c r="B281" t="s">
        <v>13</v>
      </c>
      <c r="C281" t="s">
        <v>16</v>
      </c>
    </row>
    <row r="282" spans="1:3" x14ac:dyDescent="0.4">
      <c r="A282" s="3">
        <v>47126</v>
      </c>
      <c r="B282" t="s">
        <v>15</v>
      </c>
      <c r="C282" t="s">
        <v>16</v>
      </c>
    </row>
    <row r="283" spans="1:3" x14ac:dyDescent="0.4">
      <c r="A283" s="3">
        <v>47160</v>
      </c>
      <c r="B283" t="s">
        <v>17</v>
      </c>
      <c r="C283" t="s">
        <v>26</v>
      </c>
    </row>
    <row r="284" spans="1:3" x14ac:dyDescent="0.4">
      <c r="A284" s="3">
        <v>47161</v>
      </c>
      <c r="B284" t="s">
        <v>27</v>
      </c>
      <c r="C284" t="s">
        <v>16</v>
      </c>
    </row>
    <row r="285" spans="1:3" x14ac:dyDescent="0.4">
      <c r="A285" s="3">
        <v>47197</v>
      </c>
      <c r="B285" t="s">
        <v>18</v>
      </c>
      <c r="C285" t="s">
        <v>14</v>
      </c>
    </row>
    <row r="286" spans="1:3" x14ac:dyDescent="0.4">
      <c r="A286" s="3">
        <v>47237</v>
      </c>
      <c r="B286" t="s">
        <v>20</v>
      </c>
      <c r="C286" t="s">
        <v>26</v>
      </c>
    </row>
    <row r="287" spans="1:3" x14ac:dyDescent="0.4">
      <c r="A287" s="3">
        <v>47238</v>
      </c>
      <c r="B287" t="s">
        <v>27</v>
      </c>
      <c r="C287" t="s">
        <v>16</v>
      </c>
    </row>
    <row r="288" spans="1:3" x14ac:dyDescent="0.4">
      <c r="A288" s="3">
        <v>47241</v>
      </c>
      <c r="B288" t="s">
        <v>21</v>
      </c>
      <c r="C288" t="s">
        <v>35</v>
      </c>
    </row>
    <row r="289" spans="1:3" x14ac:dyDescent="0.4">
      <c r="A289" s="3">
        <v>47242</v>
      </c>
      <c r="B289" t="s">
        <v>23</v>
      </c>
      <c r="C289" t="s">
        <v>22</v>
      </c>
    </row>
    <row r="290" spans="1:3" x14ac:dyDescent="0.4">
      <c r="A290" s="3">
        <v>47243</v>
      </c>
      <c r="B290" t="s">
        <v>25</v>
      </c>
      <c r="C290" t="s">
        <v>24</v>
      </c>
    </row>
    <row r="291" spans="1:3" x14ac:dyDescent="0.4">
      <c r="A291" s="3">
        <v>47315</v>
      </c>
      <c r="B291" t="s">
        <v>28</v>
      </c>
      <c r="C291" t="s">
        <v>16</v>
      </c>
    </row>
    <row r="292" spans="1:3" x14ac:dyDescent="0.4">
      <c r="A292" s="3">
        <v>47341</v>
      </c>
      <c r="B292" t="s">
        <v>37</v>
      </c>
      <c r="C292" t="s">
        <v>24</v>
      </c>
    </row>
    <row r="293" spans="1:3" x14ac:dyDescent="0.4">
      <c r="A293" s="3">
        <v>47378</v>
      </c>
      <c r="B293" t="s">
        <v>29</v>
      </c>
      <c r="C293" t="s">
        <v>16</v>
      </c>
    </row>
    <row r="294" spans="1:3" x14ac:dyDescent="0.4">
      <c r="A294" s="3">
        <v>47384</v>
      </c>
      <c r="B294" t="s">
        <v>30</v>
      </c>
      <c r="C294" t="s">
        <v>26</v>
      </c>
    </row>
    <row r="295" spans="1:3" x14ac:dyDescent="0.4">
      <c r="A295" s="3">
        <v>47385</v>
      </c>
      <c r="B295" t="s">
        <v>27</v>
      </c>
      <c r="C295" t="s">
        <v>16</v>
      </c>
    </row>
    <row r="296" spans="1:3" x14ac:dyDescent="0.4">
      <c r="A296" s="3">
        <v>47399</v>
      </c>
      <c r="B296" t="s">
        <v>31</v>
      </c>
      <c r="C296" t="s">
        <v>16</v>
      </c>
    </row>
    <row r="297" spans="1:3" x14ac:dyDescent="0.4">
      <c r="A297" s="3">
        <v>47425</v>
      </c>
      <c r="B297" t="s">
        <v>32</v>
      </c>
      <c r="C297" t="s">
        <v>24</v>
      </c>
    </row>
    <row r="298" spans="1:3" x14ac:dyDescent="0.4">
      <c r="A298" s="3">
        <v>47445</v>
      </c>
      <c r="B298" t="s">
        <v>33</v>
      </c>
      <c r="C298" t="s">
        <v>22</v>
      </c>
    </row>
    <row r="299" spans="1:3" x14ac:dyDescent="0.4">
      <c r="A299" s="3">
        <v>47475</v>
      </c>
      <c r="B299" t="s">
        <v>34</v>
      </c>
      <c r="C299" t="s">
        <v>26</v>
      </c>
    </row>
    <row r="300" spans="1:3" x14ac:dyDescent="0.4">
      <c r="A300" s="3">
        <v>47476</v>
      </c>
      <c r="B300" t="s">
        <v>27</v>
      </c>
      <c r="C300" t="s">
        <v>16</v>
      </c>
    </row>
    <row r="301" spans="1:3" x14ac:dyDescent="0.4">
      <c r="A301" s="3">
        <v>47484</v>
      </c>
      <c r="B301" t="s">
        <v>13</v>
      </c>
      <c r="C301" t="s">
        <v>14</v>
      </c>
    </row>
    <row r="302" spans="1:3" x14ac:dyDescent="0.4">
      <c r="A302" s="3">
        <v>47497</v>
      </c>
      <c r="B302" t="s">
        <v>15</v>
      </c>
      <c r="C302" t="s">
        <v>16</v>
      </c>
    </row>
    <row r="303" spans="1:3" x14ac:dyDescent="0.4">
      <c r="A303" s="3">
        <v>47525</v>
      </c>
      <c r="B303" t="s">
        <v>17</v>
      </c>
      <c r="C303" t="s">
        <v>16</v>
      </c>
    </row>
    <row r="304" spans="1:3" x14ac:dyDescent="0.4">
      <c r="A304" s="3">
        <v>47562</v>
      </c>
      <c r="B304" t="s">
        <v>18</v>
      </c>
      <c r="C304" t="s">
        <v>19</v>
      </c>
    </row>
    <row r="305" spans="1:3" x14ac:dyDescent="0.4">
      <c r="A305" s="3">
        <v>47602</v>
      </c>
      <c r="B305" t="s">
        <v>20</v>
      </c>
      <c r="C305" t="s">
        <v>16</v>
      </c>
    </row>
    <row r="306" spans="1:3" x14ac:dyDescent="0.4">
      <c r="A306" s="3">
        <v>47606</v>
      </c>
      <c r="B306" t="s">
        <v>21</v>
      </c>
      <c r="C306" t="s">
        <v>22</v>
      </c>
    </row>
    <row r="307" spans="1:3" x14ac:dyDescent="0.4">
      <c r="A307" s="3">
        <v>47607</v>
      </c>
      <c r="B307" t="s">
        <v>23</v>
      </c>
      <c r="C307" t="s">
        <v>24</v>
      </c>
    </row>
    <row r="308" spans="1:3" x14ac:dyDescent="0.4">
      <c r="A308" s="3">
        <v>47608</v>
      </c>
      <c r="B308" t="s">
        <v>25</v>
      </c>
      <c r="C308" t="s">
        <v>26</v>
      </c>
    </row>
    <row r="309" spans="1:3" x14ac:dyDescent="0.4">
      <c r="A309" s="3">
        <v>47609</v>
      </c>
      <c r="B309" t="s">
        <v>27</v>
      </c>
      <c r="C309" t="s">
        <v>16</v>
      </c>
    </row>
    <row r="310" spans="1:3" x14ac:dyDescent="0.4">
      <c r="A310" s="3">
        <v>47679</v>
      </c>
      <c r="B310" t="s">
        <v>28</v>
      </c>
      <c r="C310" t="s">
        <v>16</v>
      </c>
    </row>
    <row r="311" spans="1:3" x14ac:dyDescent="0.4">
      <c r="A311" s="3">
        <v>47706</v>
      </c>
      <c r="B311" t="s">
        <v>37</v>
      </c>
      <c r="C311" t="s">
        <v>26</v>
      </c>
    </row>
    <row r="312" spans="1:3" x14ac:dyDescent="0.4">
      <c r="A312" s="3">
        <v>47707</v>
      </c>
      <c r="B312" t="s">
        <v>27</v>
      </c>
      <c r="C312" t="s">
        <v>16</v>
      </c>
    </row>
    <row r="313" spans="1:3" x14ac:dyDescent="0.4">
      <c r="A313" s="3">
        <v>47742</v>
      </c>
      <c r="B313" t="s">
        <v>29</v>
      </c>
      <c r="C313" t="s">
        <v>16</v>
      </c>
    </row>
    <row r="314" spans="1:3" x14ac:dyDescent="0.4">
      <c r="A314" s="3">
        <v>47749</v>
      </c>
      <c r="B314" t="s">
        <v>30</v>
      </c>
      <c r="C314" t="s">
        <v>16</v>
      </c>
    </row>
    <row r="315" spans="1:3" x14ac:dyDescent="0.4">
      <c r="A315" s="3">
        <v>47770</v>
      </c>
      <c r="B315" t="s">
        <v>31</v>
      </c>
      <c r="C315" t="s">
        <v>16</v>
      </c>
    </row>
    <row r="316" spans="1:3" x14ac:dyDescent="0.4">
      <c r="A316" s="3">
        <v>47790</v>
      </c>
      <c r="B316" t="s">
        <v>32</v>
      </c>
      <c r="C316" t="s">
        <v>26</v>
      </c>
    </row>
    <row r="317" spans="1:3" x14ac:dyDescent="0.4">
      <c r="A317" s="3">
        <v>47791</v>
      </c>
      <c r="B317" t="s">
        <v>27</v>
      </c>
      <c r="C317" t="s">
        <v>16</v>
      </c>
    </row>
    <row r="318" spans="1:3" x14ac:dyDescent="0.4">
      <c r="A318" s="3">
        <v>47810</v>
      </c>
      <c r="B318" t="s">
        <v>33</v>
      </c>
      <c r="C318" t="s">
        <v>24</v>
      </c>
    </row>
    <row r="319" spans="1:3" x14ac:dyDescent="0.4">
      <c r="A319" s="3">
        <v>47840</v>
      </c>
      <c r="B319" t="s">
        <v>34</v>
      </c>
      <c r="C319" t="s">
        <v>16</v>
      </c>
    </row>
    <row r="320" spans="1:3" x14ac:dyDescent="0.4">
      <c r="A320" s="3">
        <v>47849</v>
      </c>
      <c r="B320" t="s">
        <v>13</v>
      </c>
      <c r="C320" t="s">
        <v>19</v>
      </c>
    </row>
    <row r="321" spans="1:3" x14ac:dyDescent="0.4">
      <c r="A321" s="3">
        <v>47861</v>
      </c>
      <c r="B321" t="s">
        <v>15</v>
      </c>
      <c r="C321" t="s">
        <v>16</v>
      </c>
    </row>
    <row r="322" spans="1:3" x14ac:dyDescent="0.4">
      <c r="A322" s="3">
        <v>47890</v>
      </c>
      <c r="B322" t="s">
        <v>17</v>
      </c>
      <c r="C322" t="s">
        <v>14</v>
      </c>
    </row>
    <row r="323" spans="1:3" x14ac:dyDescent="0.4">
      <c r="A323" s="3">
        <v>47928</v>
      </c>
      <c r="B323" t="s">
        <v>18</v>
      </c>
      <c r="C323" t="s">
        <v>22</v>
      </c>
    </row>
    <row r="324" spans="1:3" x14ac:dyDescent="0.4">
      <c r="A324" s="3">
        <v>47967</v>
      </c>
      <c r="B324" t="s">
        <v>20</v>
      </c>
      <c r="C324" t="s">
        <v>14</v>
      </c>
    </row>
    <row r="325" spans="1:3" x14ac:dyDescent="0.4">
      <c r="A325" s="3">
        <v>47971</v>
      </c>
      <c r="B325" t="s">
        <v>21</v>
      </c>
      <c r="C325" t="s">
        <v>24</v>
      </c>
    </row>
    <row r="326" spans="1:3" x14ac:dyDescent="0.4">
      <c r="A326" s="3">
        <v>47972</v>
      </c>
      <c r="B326" t="s">
        <v>23</v>
      </c>
      <c r="C326" t="s">
        <v>26</v>
      </c>
    </row>
    <row r="327" spans="1:3" x14ac:dyDescent="0.4">
      <c r="A327" s="3">
        <v>47973</v>
      </c>
      <c r="B327" t="s">
        <v>25</v>
      </c>
      <c r="C327" t="s">
        <v>16</v>
      </c>
    </row>
    <row r="328" spans="1:3" x14ac:dyDescent="0.4">
      <c r="A328" s="3">
        <v>47974</v>
      </c>
      <c r="B328" t="s">
        <v>27</v>
      </c>
      <c r="C328" t="s">
        <v>14</v>
      </c>
    </row>
    <row r="329" spans="1:3" x14ac:dyDescent="0.4">
      <c r="A329" s="3">
        <v>48050</v>
      </c>
      <c r="B329" t="s">
        <v>28</v>
      </c>
      <c r="C329" t="s">
        <v>16</v>
      </c>
    </row>
    <row r="330" spans="1:3" x14ac:dyDescent="0.4">
      <c r="A330" s="3">
        <v>48071</v>
      </c>
      <c r="B330" t="s">
        <v>37</v>
      </c>
      <c r="C330" t="s">
        <v>16</v>
      </c>
    </row>
    <row r="331" spans="1:3" x14ac:dyDescent="0.4">
      <c r="A331" s="3">
        <v>48106</v>
      </c>
      <c r="B331" t="s">
        <v>29</v>
      </c>
      <c r="C331" t="s">
        <v>16</v>
      </c>
    </row>
    <row r="332" spans="1:3" x14ac:dyDescent="0.4">
      <c r="A332" s="3">
        <v>48114</v>
      </c>
      <c r="B332" t="s">
        <v>30</v>
      </c>
      <c r="C332" t="s">
        <v>14</v>
      </c>
    </row>
    <row r="333" spans="1:3" x14ac:dyDescent="0.4">
      <c r="A333" s="3">
        <v>48134</v>
      </c>
      <c r="B333" t="s">
        <v>31</v>
      </c>
      <c r="C333" t="s">
        <v>16</v>
      </c>
    </row>
    <row r="334" spans="1:3" x14ac:dyDescent="0.4">
      <c r="A334" s="3">
        <v>48155</v>
      </c>
      <c r="B334" t="s">
        <v>32</v>
      </c>
      <c r="C334" t="s">
        <v>16</v>
      </c>
    </row>
    <row r="335" spans="1:3" x14ac:dyDescent="0.4">
      <c r="A335" s="3">
        <v>48175</v>
      </c>
      <c r="B335" t="s">
        <v>33</v>
      </c>
      <c r="C335" t="s">
        <v>26</v>
      </c>
    </row>
    <row r="336" spans="1:3" x14ac:dyDescent="0.4">
      <c r="A336" s="3">
        <v>48176</v>
      </c>
      <c r="B336" t="s">
        <v>27</v>
      </c>
      <c r="C336" t="s">
        <v>16</v>
      </c>
    </row>
    <row r="337" spans="1:3" x14ac:dyDescent="0.4">
      <c r="A337" s="3">
        <v>48205</v>
      </c>
      <c r="B337" t="s">
        <v>34</v>
      </c>
      <c r="C337" t="s">
        <v>14</v>
      </c>
    </row>
    <row r="338" spans="1:3" x14ac:dyDescent="0.4">
      <c r="A338" s="3">
        <v>48214</v>
      </c>
      <c r="B338" t="s">
        <v>13</v>
      </c>
      <c r="C338" t="s">
        <v>35</v>
      </c>
    </row>
    <row r="339" spans="1:3" x14ac:dyDescent="0.4">
      <c r="A339" s="3">
        <v>48225</v>
      </c>
      <c r="B339" t="s">
        <v>15</v>
      </c>
      <c r="C339" t="s">
        <v>16</v>
      </c>
    </row>
    <row r="340" spans="1:3" x14ac:dyDescent="0.4">
      <c r="A340" s="3">
        <v>48255</v>
      </c>
      <c r="B340" t="s">
        <v>17</v>
      </c>
      <c r="C340" t="s">
        <v>19</v>
      </c>
    </row>
    <row r="341" spans="1:3" x14ac:dyDescent="0.4">
      <c r="A341" s="3">
        <v>48293</v>
      </c>
      <c r="B341" t="s">
        <v>18</v>
      </c>
      <c r="C341" t="s">
        <v>24</v>
      </c>
    </row>
    <row r="342" spans="1:3" x14ac:dyDescent="0.4">
      <c r="A342" s="3">
        <v>48333</v>
      </c>
      <c r="B342" t="s">
        <v>20</v>
      </c>
      <c r="C342" t="s">
        <v>35</v>
      </c>
    </row>
    <row r="343" spans="1:3" x14ac:dyDescent="0.4">
      <c r="A343" s="3">
        <v>48337</v>
      </c>
      <c r="B343" t="s">
        <v>21</v>
      </c>
      <c r="C343" t="s">
        <v>16</v>
      </c>
    </row>
    <row r="344" spans="1:3" x14ac:dyDescent="0.4">
      <c r="A344" s="3">
        <v>48338</v>
      </c>
      <c r="B344" t="s">
        <v>23</v>
      </c>
      <c r="C344" t="s">
        <v>14</v>
      </c>
    </row>
    <row r="345" spans="1:3" x14ac:dyDescent="0.4">
      <c r="A345" s="3">
        <v>48339</v>
      </c>
      <c r="B345" t="s">
        <v>25</v>
      </c>
      <c r="C345" t="s">
        <v>19</v>
      </c>
    </row>
    <row r="346" spans="1:3" x14ac:dyDescent="0.4">
      <c r="A346" s="3">
        <v>48414</v>
      </c>
      <c r="B346" t="s">
        <v>28</v>
      </c>
      <c r="C346" t="s">
        <v>16</v>
      </c>
    </row>
    <row r="347" spans="1:3" x14ac:dyDescent="0.4">
      <c r="A347" s="3">
        <v>48437</v>
      </c>
      <c r="B347" t="s">
        <v>37</v>
      </c>
      <c r="C347" t="s">
        <v>19</v>
      </c>
    </row>
    <row r="348" spans="1:3" x14ac:dyDescent="0.4">
      <c r="A348" s="3">
        <v>48477</v>
      </c>
      <c r="B348" t="s">
        <v>29</v>
      </c>
      <c r="C348" t="s">
        <v>16</v>
      </c>
    </row>
    <row r="349" spans="1:3" x14ac:dyDescent="0.4">
      <c r="A349" s="3">
        <v>48478</v>
      </c>
      <c r="B349" t="s">
        <v>36</v>
      </c>
      <c r="C349" t="s">
        <v>14</v>
      </c>
    </row>
    <row r="350" spans="1:3" x14ac:dyDescent="0.4">
      <c r="A350" s="3">
        <v>48479</v>
      </c>
      <c r="B350" t="s">
        <v>30</v>
      </c>
      <c r="C350" t="s">
        <v>19</v>
      </c>
    </row>
    <row r="351" spans="1:3" x14ac:dyDescent="0.4">
      <c r="A351" s="3">
        <v>48498</v>
      </c>
      <c r="B351" t="s">
        <v>31</v>
      </c>
      <c r="C351" t="s">
        <v>16</v>
      </c>
    </row>
    <row r="352" spans="1:3" x14ac:dyDescent="0.4">
      <c r="A352" s="3">
        <v>48521</v>
      </c>
      <c r="B352" t="s">
        <v>32</v>
      </c>
      <c r="C352" t="s">
        <v>19</v>
      </c>
    </row>
    <row r="353" spans="1:3" x14ac:dyDescent="0.4">
      <c r="A353" s="3">
        <v>48541</v>
      </c>
      <c r="B353" t="s">
        <v>33</v>
      </c>
      <c r="C353" t="s">
        <v>14</v>
      </c>
    </row>
    <row r="354" spans="1:3" x14ac:dyDescent="0.4">
      <c r="A354" s="3">
        <v>48571</v>
      </c>
      <c r="B354" t="s">
        <v>34</v>
      </c>
      <c r="C354" t="s">
        <v>35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mberSheet"/>
  <dimension ref="A1:D11"/>
  <sheetViews>
    <sheetView workbookViewId="0">
      <selection activeCell="D6" sqref="D6"/>
    </sheetView>
  </sheetViews>
  <sheetFormatPr defaultRowHeight="16.5" x14ac:dyDescent="0.4"/>
  <cols>
    <col min="1" max="1" width="9.125" bestFit="1" customWidth="1"/>
    <col min="2" max="2" width="14.5" bestFit="1" customWidth="1"/>
    <col min="4" max="4" width="11.375" bestFit="1" customWidth="1"/>
  </cols>
  <sheetData>
    <row r="1" spans="1:4" x14ac:dyDescent="0.4">
      <c r="A1" s="42" t="s">
        <v>50</v>
      </c>
      <c r="B1" s="42" t="s">
        <v>66</v>
      </c>
      <c r="D1" s="42" t="s">
        <v>51</v>
      </c>
    </row>
    <row r="2" spans="1:4" x14ac:dyDescent="0.4">
      <c r="A2" s="43" t="s">
        <v>57</v>
      </c>
      <c r="B2" s="43"/>
      <c r="D2" s="43" t="s">
        <v>42</v>
      </c>
    </row>
    <row r="3" spans="1:4" x14ac:dyDescent="0.4">
      <c r="A3" s="43" t="s">
        <v>52</v>
      </c>
      <c r="B3" s="43"/>
      <c r="D3" s="43" t="s">
        <v>43</v>
      </c>
    </row>
    <row r="4" spans="1:4" x14ac:dyDescent="0.4">
      <c r="A4" s="43" t="s">
        <v>59</v>
      </c>
      <c r="B4" s="43"/>
      <c r="D4" s="43" t="s">
        <v>44</v>
      </c>
    </row>
    <row r="5" spans="1:4" x14ac:dyDescent="0.4">
      <c r="A5" s="43" t="s">
        <v>58</v>
      </c>
      <c r="B5" s="43"/>
      <c r="D5" s="43" t="s">
        <v>70</v>
      </c>
    </row>
    <row r="6" spans="1:4" x14ac:dyDescent="0.4">
      <c r="A6" s="43" t="s">
        <v>60</v>
      </c>
      <c r="B6" s="43"/>
      <c r="D6" s="43" t="s">
        <v>45</v>
      </c>
    </row>
    <row r="7" spans="1:4" x14ac:dyDescent="0.4">
      <c r="A7" s="43" t="s">
        <v>61</v>
      </c>
      <c r="B7" s="43"/>
      <c r="D7" s="43" t="s">
        <v>46</v>
      </c>
    </row>
    <row r="8" spans="1:4" x14ac:dyDescent="0.4">
      <c r="A8" s="43" t="s">
        <v>62</v>
      </c>
      <c r="B8" s="43"/>
      <c r="D8" s="43" t="s">
        <v>47</v>
      </c>
    </row>
    <row r="9" spans="1:4" x14ac:dyDescent="0.4">
      <c r="A9" s="43" t="s">
        <v>63</v>
      </c>
      <c r="B9" s="43"/>
      <c r="D9" s="43" t="s">
        <v>48</v>
      </c>
    </row>
    <row r="10" spans="1:4" x14ac:dyDescent="0.4">
      <c r="A10" s="43" t="s">
        <v>64</v>
      </c>
      <c r="B10" s="43"/>
      <c r="D10" s="67" t="s">
        <v>69</v>
      </c>
    </row>
    <row r="11" spans="1:4" x14ac:dyDescent="0.4">
      <c r="A11" s="43" t="s">
        <v>65</v>
      </c>
      <c r="B11" s="43"/>
      <c r="D11" s="43" t="s">
        <v>49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11</vt:i4>
      </vt:variant>
    </vt:vector>
  </HeadingPairs>
  <TitlesOfParts>
    <vt:vector size="14" baseType="lpstr">
      <vt:lpstr>main</vt:lpstr>
      <vt:lpstr>holiday</vt:lpstr>
      <vt:lpstr>member</vt:lpstr>
      <vt:lpstr>main!Print_Area</vt:lpstr>
      <vt:lpstr>RTVMember0</vt:lpstr>
      <vt:lpstr>RTVMember1</vt:lpstr>
      <vt:lpstr>RTVMember2</vt:lpstr>
      <vt:lpstr>RTVMember3</vt:lpstr>
      <vt:lpstr>RTVMember4</vt:lpstr>
      <vt:lpstr>RTVMember5</vt:lpstr>
      <vt:lpstr>RTVMember6</vt:lpstr>
      <vt:lpstr>RTVMember7</vt:lpstr>
      <vt:lpstr>RTVMember8</vt:lpstr>
      <vt:lpstr>RTVMember9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2015-07-27T03:19:15Z</dcterms:created>
  <dcterms:modified xsi:type="dcterms:W3CDTF">2015-07-27T06:14:01Z</dcterms:modified>
  <cp:contentStatus/>
</cp:coreProperties>
</file>