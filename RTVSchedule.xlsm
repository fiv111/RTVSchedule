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autoCompressPictures="0" defaultThemeVersion="124226"/>
  <bookViews>
    <workbookView xWindow="120" yWindow="90" windowWidth="20475" windowHeight="11850"/>
  </bookViews>
  <sheets>
    <sheet name="main" sheetId="1" r:id="rId1"/>
    <sheet name="holiday" sheetId="3" r:id="rId2"/>
    <sheet name="member" sheetId="2" r:id="rId3"/>
    <sheet name="status" sheetId="4" r:id="rId4"/>
  </sheets>
  <functionGroups builtInGroupCount="17"/>
  <definedNames>
    <definedName name="_xlnm.Print_Area" localSheetId="0">main!$A$1:$BK$38</definedName>
  </definedNames>
  <calcPr calcId="145621"/>
</workbook>
</file>

<file path=xl/calcChain.xml><?xml version="1.0" encoding="utf-8"?>
<calcChain xmlns="http://schemas.openxmlformats.org/spreadsheetml/2006/main">
  <c r="N1" i="1" l="1"/>
  <c r="N2" i="1"/>
  <c r="H7" i="1"/>
  <c r="Z2" i="1" l="1"/>
  <c r="V2" i="1"/>
  <c r="R2" i="1"/>
  <c r="J2" i="1"/>
  <c r="Z1" i="1"/>
  <c r="V1" i="1"/>
  <c r="R1" i="1"/>
  <c r="J1" i="1"/>
  <c r="A3" i="2"/>
  <c r="A4" i="2" s="1"/>
  <c r="A5" i="2"/>
  <c r="A6" i="2" s="1"/>
  <c r="A7" i="2"/>
  <c r="A8" i="2"/>
  <c r="A9" i="2"/>
  <c r="A10" i="2"/>
  <c r="A11" i="2"/>
  <c r="B8" i="1"/>
  <c r="B9" i="1"/>
  <c r="B10" i="1" s="1"/>
  <c r="E8" i="1"/>
  <c r="A3" i="3"/>
  <c r="A3" i="4"/>
  <c r="A4" i="3"/>
  <c r="A4" i="4"/>
  <c r="A5" i="4"/>
  <c r="A6" i="4"/>
  <c r="A7" i="4" s="1"/>
  <c r="A8" i="4" s="1"/>
  <c r="A9" i="4" s="1"/>
  <c r="A5" i="3"/>
  <c r="A6" i="3" s="1"/>
  <c r="A7" i="3" s="1"/>
  <c r="A8" i="3" s="1"/>
  <c r="A9" i="3" s="1"/>
  <c r="A10" i="3" s="1"/>
  <c r="A11" i="3"/>
  <c r="A10" i="4"/>
  <c r="A12" i="3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A210" i="3" s="1"/>
  <c r="A211" i="3" s="1"/>
  <c r="A212" i="3" s="1"/>
  <c r="A213" i="3" s="1"/>
  <c r="A214" i="3" s="1"/>
  <c r="A215" i="3" s="1"/>
  <c r="A216" i="3" s="1"/>
  <c r="A217" i="3" s="1"/>
  <c r="A218" i="3" s="1"/>
  <c r="A219" i="3" s="1"/>
  <c r="A220" i="3" s="1"/>
  <c r="A221" i="3" s="1"/>
  <c r="A222" i="3" s="1"/>
  <c r="A223" i="3" s="1"/>
  <c r="A224" i="3" s="1"/>
  <c r="A225" i="3" s="1"/>
  <c r="A226" i="3" s="1"/>
  <c r="A227" i="3" s="1"/>
  <c r="A228" i="3" s="1"/>
  <c r="A229" i="3" s="1"/>
  <c r="A230" i="3" s="1"/>
  <c r="A231" i="3" s="1"/>
  <c r="A232" i="3" s="1"/>
  <c r="A233" i="3" s="1"/>
  <c r="A234" i="3" s="1"/>
  <c r="A235" i="3" s="1"/>
  <c r="A236" i="3" s="1"/>
  <c r="A237" i="3" s="1"/>
  <c r="A238" i="3" s="1"/>
  <c r="A239" i="3" s="1"/>
  <c r="A240" i="3" s="1"/>
  <c r="A241" i="3" s="1"/>
  <c r="A242" i="3" s="1"/>
  <c r="A243" i="3" s="1"/>
  <c r="A244" i="3" s="1"/>
  <c r="A245" i="3" s="1"/>
  <c r="A246" i="3" s="1"/>
  <c r="A247" i="3" s="1"/>
  <c r="A248" i="3" s="1"/>
  <c r="A249" i="3" s="1"/>
  <c r="A250" i="3" s="1"/>
  <c r="A251" i="3" s="1"/>
  <c r="A252" i="3" s="1"/>
  <c r="A253" i="3" s="1"/>
  <c r="A254" i="3" s="1"/>
  <c r="A255" i="3" s="1"/>
  <c r="A256" i="3" s="1"/>
  <c r="A257" i="3" s="1"/>
  <c r="A258" i="3" s="1"/>
  <c r="A259" i="3" s="1"/>
  <c r="A260" i="3" s="1"/>
  <c r="A261" i="3" s="1"/>
  <c r="A262" i="3" s="1"/>
  <c r="A263" i="3" s="1"/>
  <c r="A264" i="3" s="1"/>
  <c r="A265" i="3" s="1"/>
  <c r="A266" i="3" s="1"/>
  <c r="A267" i="3" s="1"/>
  <c r="A268" i="3" s="1"/>
  <c r="A269" i="3" s="1"/>
  <c r="A270" i="3" s="1"/>
  <c r="A271" i="3" s="1"/>
  <c r="A272" i="3" s="1"/>
  <c r="A273" i="3" s="1"/>
  <c r="A274" i="3" s="1"/>
  <c r="A275" i="3" s="1"/>
  <c r="A276" i="3" s="1"/>
  <c r="A277" i="3" s="1"/>
  <c r="A278" i="3" s="1"/>
  <c r="A279" i="3" s="1"/>
  <c r="A280" i="3" s="1"/>
  <c r="A281" i="3" s="1"/>
  <c r="A282" i="3" s="1"/>
  <c r="A283" i="3" s="1"/>
  <c r="A284" i="3" s="1"/>
  <c r="A285" i="3" s="1"/>
  <c r="A286" i="3" s="1"/>
  <c r="A287" i="3" s="1"/>
  <c r="A288" i="3" s="1"/>
  <c r="A289" i="3" s="1"/>
  <c r="A290" i="3" s="1"/>
  <c r="A291" i="3" s="1"/>
  <c r="A292" i="3" s="1"/>
  <c r="A293" i="3" s="1"/>
  <c r="A294" i="3" s="1"/>
  <c r="A295" i="3" s="1"/>
  <c r="A296" i="3" s="1"/>
  <c r="A297" i="3" s="1"/>
  <c r="A298" i="3" s="1"/>
  <c r="A299" i="3" s="1"/>
  <c r="A300" i="3" s="1"/>
  <c r="A301" i="3" s="1"/>
  <c r="A302" i="3" s="1"/>
  <c r="A303" i="3" s="1"/>
  <c r="A304" i="3" s="1"/>
  <c r="A305" i="3" s="1"/>
  <c r="A306" i="3" s="1"/>
  <c r="A307" i="3" s="1"/>
  <c r="A308" i="3" s="1"/>
  <c r="A309" i="3" s="1"/>
  <c r="A310" i="3" s="1"/>
  <c r="A311" i="3" s="1"/>
  <c r="A312" i="3" s="1"/>
  <c r="A313" i="3" s="1"/>
  <c r="A314" i="3" s="1"/>
  <c r="A315" i="3" s="1"/>
  <c r="A316" i="3" s="1"/>
  <c r="A317" i="3" s="1"/>
  <c r="A318" i="3" s="1"/>
  <c r="A319" i="3" s="1"/>
  <c r="A320" i="3" s="1"/>
  <c r="A321" i="3" s="1"/>
  <c r="A322" i="3" s="1"/>
  <c r="A323" i="3" s="1"/>
  <c r="A324" i="3" s="1"/>
  <c r="A325" i="3" s="1"/>
  <c r="A326" i="3" s="1"/>
  <c r="A327" i="3" s="1"/>
  <c r="A328" i="3" s="1"/>
  <c r="A329" i="3" s="1"/>
  <c r="A330" i="3" s="1"/>
  <c r="A331" i="3" s="1"/>
  <c r="A332" i="3" s="1"/>
  <c r="A333" i="3" s="1"/>
  <c r="A334" i="3" s="1"/>
  <c r="A335" i="3" s="1"/>
  <c r="A336" i="3" s="1"/>
  <c r="A337" i="3" s="1"/>
  <c r="A338" i="3" s="1"/>
  <c r="A339" i="3" s="1"/>
  <c r="A340" i="3" s="1"/>
  <c r="A341" i="3" s="1"/>
  <c r="A342" i="3" s="1"/>
  <c r="A343" i="3" s="1"/>
  <c r="A344" i="3" s="1"/>
  <c r="A345" i="3" s="1"/>
  <c r="A346" i="3" s="1"/>
  <c r="A347" i="3" s="1"/>
  <c r="A348" i="3" s="1"/>
  <c r="A349" i="3" s="1"/>
  <c r="A350" i="3" s="1"/>
  <c r="A351" i="3" s="1"/>
  <c r="A352" i="3" s="1"/>
  <c r="A353" i="3" s="1"/>
  <c r="A354" i="3" s="1"/>
  <c r="A355" i="3" s="1"/>
  <c r="A11" i="4"/>
  <c r="A12" i="4"/>
  <c r="H8" i="1"/>
  <c r="E9" i="1" s="1"/>
  <c r="H9" i="1" s="1"/>
  <c r="B11" i="1"/>
  <c r="B12" i="1" s="1"/>
  <c r="B13" i="1"/>
  <c r="B14" i="1" s="1"/>
  <c r="E10" i="1"/>
  <c r="H10" i="1"/>
  <c r="E11" i="1" s="1"/>
  <c r="H11" i="1" s="1"/>
  <c r="B15" i="1"/>
  <c r="B16" i="1" s="1"/>
  <c r="B18" i="1" s="1"/>
  <c r="B19" i="1"/>
  <c r="B20" i="1"/>
  <c r="B21" i="1"/>
  <c r="B22" i="1"/>
  <c r="B23" i="1"/>
  <c r="B24" i="1" s="1"/>
  <c r="B25" i="1"/>
  <c r="B26" i="1" s="1"/>
  <c r="E12" i="1"/>
  <c r="H12" i="1"/>
  <c r="E13" i="1" s="1"/>
  <c r="H13" i="1" s="1"/>
  <c r="B27" i="1"/>
  <c r="B29" i="1" s="1"/>
  <c r="B30" i="1" s="1"/>
  <c r="B31" i="1"/>
  <c r="B32" i="1" s="1"/>
  <c r="E14" i="1"/>
  <c r="H14" i="1"/>
  <c r="E15" i="1" s="1"/>
  <c r="H15" i="1" s="1"/>
  <c r="B33" i="1"/>
  <c r="B34" i="1" s="1"/>
  <c r="B35" i="1"/>
  <c r="B36" i="1" s="1"/>
  <c r="E16" i="1"/>
  <c r="H16" i="1" s="1"/>
  <c r="E18" i="1" s="1"/>
  <c r="H18" i="1" s="1"/>
  <c r="E19" i="1"/>
  <c r="B37" i="1"/>
  <c r="B38" i="1" s="1"/>
  <c r="H19" i="1"/>
  <c r="E20" i="1" s="1"/>
  <c r="H20" i="1" s="1"/>
  <c r="E21" i="1"/>
  <c r="H21" i="1"/>
  <c r="E22" i="1" s="1"/>
  <c r="H22" i="1" s="1"/>
  <c r="E23" i="1"/>
  <c r="H23" i="1"/>
  <c r="E24" i="1" s="1"/>
  <c r="H24" i="1" s="1"/>
  <c r="E25" i="1"/>
  <c r="H25" i="1"/>
  <c r="E26" i="1" s="1"/>
  <c r="H26" i="1" s="1"/>
  <c r="E27" i="1"/>
  <c r="H27" i="1" s="1"/>
  <c r="E29" i="1" s="1"/>
  <c r="H29" i="1" s="1"/>
  <c r="E30" i="1"/>
  <c r="H30" i="1"/>
  <c r="E31" i="1" s="1"/>
  <c r="H31" i="1" s="1"/>
  <c r="E32" i="1"/>
  <c r="H32" i="1"/>
  <c r="E33" i="1" s="1"/>
  <c r="H33" i="1" s="1"/>
  <c r="E34" i="1"/>
  <c r="H34" i="1"/>
  <c r="E35" i="1" s="1"/>
  <c r="H35" i="1" s="1"/>
  <c r="E36" i="1"/>
  <c r="H36" i="1"/>
  <c r="E37" i="1" s="1"/>
  <c r="H37" i="1" s="1"/>
  <c r="E38" i="1"/>
  <c r="H38" i="1" s="1"/>
</calcChain>
</file>

<file path=xl/sharedStrings.xml><?xml version="1.0" encoding="utf-8"?>
<sst xmlns="http://schemas.openxmlformats.org/spreadsheetml/2006/main" count="909" uniqueCount="99">
  <si>
    <t>入稿</t>
  </si>
  <si>
    <t>member0</t>
  </si>
  <si>
    <t>制作</t>
  </si>
  <si>
    <t>member2</t>
  </si>
  <si>
    <t>テストアップ</t>
  </si>
  <si>
    <t>member3</t>
  </si>
  <si>
    <t>確認</t>
  </si>
  <si>
    <t>member4</t>
  </si>
  <si>
    <t>修正</t>
  </si>
  <si>
    <t>member5</t>
  </si>
  <si>
    <t>member6</t>
  </si>
  <si>
    <t>member7</t>
  </si>
  <si>
    <t>確認、認証</t>
  </si>
  <si>
    <t>member8</t>
  </si>
  <si>
    <t>公開</t>
  </si>
  <si>
    <t>member9</t>
  </si>
  <si>
    <t>未着手</t>
  </si>
  <si>
    <t>対応済</t>
  </si>
  <si>
    <t>TaskName</t>
    <phoneticPr fontId="1"/>
  </si>
  <si>
    <t>member0</t>
    <phoneticPr fontId="1"/>
  </si>
  <si>
    <t>member1</t>
    <phoneticPr fontId="1"/>
  </si>
  <si>
    <t>準備中</t>
  </si>
  <si>
    <t>対応中</t>
    <rPh sb="0" eb="2">
      <t>タイオウ</t>
    </rPh>
    <phoneticPr fontId="1"/>
  </si>
  <si>
    <t>確認中</t>
  </si>
  <si>
    <t>リリース</t>
    <phoneticPr fontId="1"/>
  </si>
  <si>
    <t>元日</t>
  </si>
  <si>
    <t>火</t>
  </si>
  <si>
    <t>成人の日</t>
  </si>
  <si>
    <t>月</t>
  </si>
  <si>
    <t>建国記念の日</t>
  </si>
  <si>
    <t>春分の日</t>
  </si>
  <si>
    <t>水</t>
  </si>
  <si>
    <t>昭和の日</t>
  </si>
  <si>
    <t>憲法記念日</t>
  </si>
  <si>
    <t>金</t>
  </si>
  <si>
    <t>みどりの日</t>
  </si>
  <si>
    <t>土</t>
  </si>
  <si>
    <t>こどもの日</t>
  </si>
  <si>
    <t>日</t>
  </si>
  <si>
    <t>振替休日</t>
  </si>
  <si>
    <t>海の日</t>
  </si>
  <si>
    <t>敬老の日</t>
  </si>
  <si>
    <t>秋分の日</t>
  </si>
  <si>
    <t>体育の日</t>
  </si>
  <si>
    <t>文化の日</t>
  </si>
  <si>
    <t>勤労感謝の日</t>
  </si>
  <si>
    <t>天皇誕生日</t>
  </si>
  <si>
    <t>木</t>
  </si>
  <si>
    <t>国民の休日</t>
  </si>
  <si>
    <t>山の日</t>
  </si>
  <si>
    <t>id</t>
    <phoneticPr fontId="1"/>
  </si>
  <si>
    <t>id</t>
    <phoneticPr fontId="1"/>
  </si>
  <si>
    <t>status</t>
    <phoneticPr fontId="1"/>
  </si>
  <si>
    <t>description</t>
    <phoneticPr fontId="1"/>
  </si>
  <si>
    <t>day</t>
    <phoneticPr fontId="1"/>
  </si>
  <si>
    <t>day week</t>
    <phoneticPr fontId="1"/>
  </si>
  <si>
    <t>No.</t>
    <phoneticPr fontId="1"/>
  </si>
  <si>
    <t>タスク</t>
    <phoneticPr fontId="1"/>
  </si>
  <si>
    <t>担当</t>
    <rPh sb="0" eb="2">
      <t>タントウ</t>
    </rPh>
    <phoneticPr fontId="1"/>
  </si>
  <si>
    <t>開始日</t>
    <rPh sb="0" eb="3">
      <t>カイシビ</t>
    </rPh>
    <phoneticPr fontId="1"/>
  </si>
  <si>
    <t>作業日数</t>
    <rPh sb="0" eb="2">
      <t>サギョウ</t>
    </rPh>
    <rPh sb="2" eb="4">
      <t>ニッスウ</t>
    </rPh>
    <phoneticPr fontId="1"/>
  </si>
  <si>
    <t>調整日数</t>
    <rPh sb="0" eb="2">
      <t>チョウセイ</t>
    </rPh>
    <rPh sb="2" eb="4">
      <t>ニッスウ</t>
    </rPh>
    <phoneticPr fontId="1"/>
  </si>
  <si>
    <t>完了日</t>
    <rPh sb="0" eb="3">
      <t>カンリョウビ</t>
    </rPh>
    <phoneticPr fontId="1"/>
  </si>
  <si>
    <t>ステータス</t>
    <phoneticPr fontId="1"/>
  </si>
  <si>
    <t>value</t>
    <phoneticPr fontId="1"/>
  </si>
  <si>
    <t>備考欄</t>
    <rPh sb="0" eb="2">
      <t>ビコウ</t>
    </rPh>
    <rPh sb="2" eb="3">
      <t>ラン</t>
    </rPh>
    <phoneticPr fontId="1"/>
  </si>
  <si>
    <t>member1</t>
  </si>
  <si>
    <t>リリース</t>
  </si>
  <si>
    <t>中止</t>
    <rPh sb="0" eb="2">
      <t>チュウシ</t>
    </rPh>
    <phoneticPr fontId="1"/>
  </si>
  <si>
    <t>テスト中</t>
    <rPh sb="3" eb="4">
      <t>チュウ</t>
    </rPh>
    <phoneticPr fontId="1"/>
  </si>
  <si>
    <t>保留</t>
  </si>
  <si>
    <t>保留</t>
    <phoneticPr fontId="1"/>
  </si>
  <si>
    <t>承認中</t>
    <rPh sb="2" eb="3">
      <t>ナカ</t>
    </rPh>
    <phoneticPr fontId="1"/>
  </si>
  <si>
    <t>確認</t>
    <phoneticPr fontId="1"/>
  </si>
  <si>
    <t>color</t>
    <phoneticPr fontId="1"/>
  </si>
  <si>
    <t>192,226,230</t>
    <phoneticPr fontId="1"/>
  </si>
  <si>
    <t>253,207,148</t>
    <phoneticPr fontId="1"/>
  </si>
  <si>
    <t>223,220,213</t>
    <phoneticPr fontId="1"/>
  </si>
  <si>
    <t>242,240,218</t>
    <phoneticPr fontId="1"/>
  </si>
  <si>
    <t>251,202,210</t>
    <phoneticPr fontId="1"/>
  </si>
  <si>
    <t>167,237,169</t>
    <phoneticPr fontId="1"/>
  </si>
  <si>
    <t>255,172,183</t>
    <phoneticPr fontId="1"/>
  </si>
  <si>
    <t>254,242,139</t>
    <phoneticPr fontId="1"/>
  </si>
  <si>
    <t>154,231,217</t>
    <phoneticPr fontId="1"/>
  </si>
  <si>
    <t>242,242,242</t>
    <phoneticPr fontId="1"/>
  </si>
  <si>
    <t>204,204,204</t>
    <phoneticPr fontId="1"/>
  </si>
  <si>
    <t>179,179,179</t>
    <phoneticPr fontId="1"/>
  </si>
  <si>
    <t>153,153,153</t>
    <phoneticPr fontId="1"/>
  </si>
  <si>
    <t>26,26,26</t>
    <phoneticPr fontId="1"/>
  </si>
  <si>
    <t>77,77,77</t>
    <phoneticPr fontId="1"/>
  </si>
  <si>
    <t>51,51,51</t>
    <phoneticPr fontId="1"/>
  </si>
  <si>
    <t>102,102,102</t>
    <phoneticPr fontId="1"/>
  </si>
  <si>
    <t>128,128,128</t>
    <phoneticPr fontId="1"/>
  </si>
  <si>
    <t>230,230,230</t>
    <phoneticPr fontId="1"/>
  </si>
  <si>
    <t>制作中</t>
    <rPh sb="0" eb="2">
      <t>セイサク</t>
    </rPh>
    <rPh sb="2" eb="3">
      <t>チュウ</t>
    </rPh>
    <phoneticPr fontId="1"/>
  </si>
  <si>
    <t>255,255,255</t>
    <phoneticPr fontId="1"/>
  </si>
  <si>
    <t>Project Name</t>
    <phoneticPr fontId="1"/>
  </si>
  <si>
    <t>228,211,241</t>
    <phoneticPr fontId="1"/>
  </si>
  <si>
    <t>2016/1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</si>
</sst>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color theme="1"/>
      <name val="メイリオ"/>
      <family val="2"/>
      <charset val="128"/>
    </font>
    <font>
      <sz val="6"/>
      <name val="メイリオ"/>
      <family val="2"/>
      <charset val="128"/>
    </font>
    <font>
      <sz val="10"/>
      <color theme="0"/>
      <name val="メイリオ"/>
      <family val="2"/>
      <charset val="128"/>
    </font>
    <font>
      <b/>
      <sz val="10"/>
      <color theme="0"/>
      <name val="メイリオ"/>
      <family val="3"/>
      <charset val="128"/>
    </font>
    <font>
      <sz val="10"/>
      <color theme="0"/>
      <name val="メイリオ"/>
      <family val="3"/>
      <charset val="128"/>
    </font>
    <font>
      <b/>
      <sz val="10"/>
      <color theme="1"/>
      <name val="メイリオ"/>
      <family val="3"/>
      <charset val="128"/>
    </font>
  </fonts>
  <fills count="3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92CDDC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rgb="FFC0E2E6"/>
        <bgColor indexed="64"/>
      </patternFill>
    </fill>
    <fill>
      <patternFill patternType="solid">
        <fgColor rgb="FFFDCF94"/>
        <bgColor indexed="64"/>
      </patternFill>
    </fill>
    <fill>
      <patternFill patternType="solid">
        <fgColor rgb="FFDFDCD5"/>
        <bgColor indexed="64"/>
      </patternFill>
    </fill>
    <fill>
      <patternFill patternType="solid">
        <fgColor rgb="FFF2F0DA"/>
        <bgColor indexed="64"/>
      </patternFill>
    </fill>
    <fill>
      <patternFill patternType="solid">
        <fgColor rgb="FFFBCAD2"/>
        <bgColor indexed="64"/>
      </patternFill>
    </fill>
    <fill>
      <patternFill patternType="solid">
        <fgColor rgb="FFA7EDA9"/>
        <bgColor indexed="64"/>
      </patternFill>
    </fill>
    <fill>
      <patternFill patternType="solid">
        <fgColor rgb="FFFFACB7"/>
        <bgColor indexed="64"/>
      </patternFill>
    </fill>
    <fill>
      <patternFill patternType="solid">
        <fgColor rgb="FFFEF28B"/>
        <bgColor indexed="64"/>
      </patternFill>
    </fill>
    <fill>
      <patternFill patternType="solid">
        <fgColor rgb="FF9AE7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B3B3B3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1A1A1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E4D3F1"/>
        <bgColor indexed="64"/>
      </patternFill>
    </fill>
    <fill>
      <patternFill patternType="solid">
        <fgColor rgb="FF00CC99"/>
        <bgColor indexed="64"/>
      </patternFill>
    </fill>
  </fills>
  <borders count="8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</borders>
  <cellStyleXfs count="1">
    <xf numFmtId="0" fontId="0" fillId="0" borderId="0">
      <alignment vertical="center"/>
    </xf>
  </cellStyleXfs>
  <cellXfs count="109">
    <xf numFmtId="0" fontId="0" fillId="0" borderId="0" xfId="0">
      <alignment vertical="center"/>
    </xf>
    <xf numFmtId="0" fontId="0" fillId="0" borderId="1" xfId="0" applyBorder="1" applyAlignment="1">
      <alignment vertical="top"/>
    </xf>
    <xf numFmtId="14" fontId="0" fillId="0" borderId="1" xfId="0" applyNumberFormat="1" applyBorder="1" applyAlignment="1">
      <alignment vertical="top"/>
    </xf>
    <xf numFmtId="0" fontId="3" fillId="2" borderId="0" xfId="0" applyFont="1" applyFill="1">
      <alignment vertical="center"/>
    </xf>
    <xf numFmtId="0" fontId="0" fillId="0" borderId="1" xfId="0" applyBorder="1">
      <alignment vertical="center"/>
    </xf>
    <xf numFmtId="0" fontId="4" fillId="3" borderId="0" xfId="0" applyNumberFormat="1" applyFont="1" applyFill="1" applyBorder="1" applyAlignment="1">
      <alignment vertical="top"/>
    </xf>
    <xf numFmtId="0" fontId="3" fillId="4" borderId="2" xfId="0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0" fillId="5" borderId="1" xfId="0" applyFill="1" applyBorder="1" applyAlignment="1">
      <alignment vertical="top"/>
    </xf>
    <xf numFmtId="0" fontId="0" fillId="6" borderId="1" xfId="0" applyFill="1" applyBorder="1" applyAlignment="1">
      <alignment vertical="top"/>
    </xf>
    <xf numFmtId="0" fontId="3" fillId="3" borderId="0" xfId="0" applyNumberFormat="1" applyFont="1" applyFill="1" applyBorder="1" applyAlignment="1">
      <alignment horizontal="center" vertical="top"/>
    </xf>
    <xf numFmtId="0" fontId="3" fillId="3" borderId="3" xfId="0" applyNumberFormat="1" applyFont="1" applyFill="1" applyBorder="1" applyAlignment="1">
      <alignment vertical="top"/>
    </xf>
    <xf numFmtId="0" fontId="3" fillId="3" borderId="4" xfId="0" applyNumberFormat="1" applyFont="1" applyFill="1" applyBorder="1" applyAlignment="1">
      <alignment vertical="top"/>
    </xf>
    <xf numFmtId="0" fontId="2" fillId="3" borderId="4" xfId="0" applyNumberFormat="1" applyFont="1" applyFill="1" applyBorder="1" applyAlignment="1">
      <alignment vertical="top"/>
    </xf>
    <xf numFmtId="0" fontId="3" fillId="3" borderId="5" xfId="0" applyNumberFormat="1" applyFont="1" applyFill="1" applyBorder="1" applyAlignment="1">
      <alignment horizontal="center" vertical="top"/>
    </xf>
    <xf numFmtId="0" fontId="3" fillId="3" borderId="6" xfId="0" applyNumberFormat="1" applyFont="1" applyFill="1" applyBorder="1" applyAlignment="1">
      <alignment vertical="top"/>
    </xf>
    <xf numFmtId="0" fontId="3" fillId="3" borderId="7" xfId="0" applyNumberFormat="1" applyFont="1" applyFill="1" applyBorder="1" applyAlignment="1">
      <alignment vertical="top"/>
    </xf>
    <xf numFmtId="0" fontId="2" fillId="3" borderId="7" xfId="0" applyNumberFormat="1" applyFont="1" applyFill="1" applyBorder="1" applyAlignment="1">
      <alignment vertical="top"/>
    </xf>
    <xf numFmtId="0" fontId="3" fillId="2" borderId="1" xfId="0" applyFont="1" applyFill="1" applyBorder="1">
      <alignment vertical="center"/>
    </xf>
    <xf numFmtId="14" fontId="0" fillId="0" borderId="1" xfId="0" applyNumberFormat="1" applyBorder="1">
      <alignment vertical="center"/>
    </xf>
    <xf numFmtId="0" fontId="0" fillId="7" borderId="1" xfId="0" applyFill="1" applyBorder="1">
      <alignment vertical="center"/>
    </xf>
    <xf numFmtId="0" fontId="0" fillId="0" borderId="1" xfId="0" applyNumberFormat="1" applyBorder="1">
      <alignment vertical="center"/>
    </xf>
    <xf numFmtId="0" fontId="3" fillId="2" borderId="1" xfId="0" applyNumberFormat="1" applyFont="1" applyFill="1" applyBorder="1">
      <alignment vertical="center"/>
    </xf>
    <xf numFmtId="0" fontId="0" fillId="0" borderId="1" xfId="0" quotePrefix="1" applyNumberFormat="1" applyBorder="1">
      <alignment vertical="center"/>
    </xf>
    <xf numFmtId="0" fontId="0" fillId="8" borderId="1" xfId="0" applyFill="1" applyBorder="1">
      <alignment vertical="center"/>
    </xf>
    <xf numFmtId="0" fontId="0" fillId="9" borderId="1" xfId="0" applyFill="1" applyBorder="1">
      <alignment vertical="center"/>
    </xf>
    <xf numFmtId="0" fontId="0" fillId="10" borderId="1" xfId="0" applyFill="1" applyBorder="1">
      <alignment vertical="center"/>
    </xf>
    <xf numFmtId="0" fontId="0" fillId="11" borderId="1" xfId="0" applyFill="1" applyBorder="1">
      <alignment vertical="center"/>
    </xf>
    <xf numFmtId="0" fontId="0" fillId="12" borderId="1" xfId="0" applyFill="1" applyBorder="1">
      <alignment vertical="center"/>
    </xf>
    <xf numFmtId="0" fontId="0" fillId="13" borderId="1" xfId="0" applyFill="1" applyBorder="1">
      <alignment vertical="center"/>
    </xf>
    <xf numFmtId="0" fontId="0" fillId="14" borderId="1" xfId="0" applyFill="1" applyBorder="1">
      <alignment vertical="center"/>
    </xf>
    <xf numFmtId="0" fontId="0" fillId="15" borderId="1" xfId="0" applyFill="1" applyBorder="1">
      <alignment vertical="center"/>
    </xf>
    <xf numFmtId="0" fontId="0" fillId="0" borderId="1" xfId="0" quotePrefix="1" applyBorder="1">
      <alignment vertical="center"/>
    </xf>
    <xf numFmtId="0" fontId="0" fillId="0" borderId="1" xfId="0" quotePrefix="1" applyFill="1" applyBorder="1">
      <alignment vertical="center"/>
    </xf>
    <xf numFmtId="0" fontId="0" fillId="16" borderId="1" xfId="0" applyFill="1" applyBorder="1">
      <alignment vertical="center"/>
    </xf>
    <xf numFmtId="0" fontId="0" fillId="17" borderId="1" xfId="0" applyFill="1" applyBorder="1">
      <alignment vertical="center"/>
    </xf>
    <xf numFmtId="0" fontId="0" fillId="18" borderId="1" xfId="0" applyFill="1" applyBorder="1">
      <alignment vertical="center"/>
    </xf>
    <xf numFmtId="0" fontId="2" fillId="19" borderId="1" xfId="0" applyFont="1" applyFill="1" applyBorder="1">
      <alignment vertical="center"/>
    </xf>
    <xf numFmtId="0" fontId="4" fillId="20" borderId="1" xfId="0" applyFont="1" applyFill="1" applyBorder="1">
      <alignment vertical="center"/>
    </xf>
    <xf numFmtId="0" fontId="4" fillId="21" borderId="1" xfId="0" applyFont="1" applyFill="1" applyBorder="1">
      <alignment vertical="center"/>
    </xf>
    <xf numFmtId="0" fontId="4" fillId="22" borderId="1" xfId="0" applyFont="1" applyFill="1" applyBorder="1">
      <alignment vertical="center"/>
    </xf>
    <xf numFmtId="0" fontId="4" fillId="23" borderId="1" xfId="0" applyFont="1" applyFill="1" applyBorder="1">
      <alignment vertical="center"/>
    </xf>
    <xf numFmtId="0" fontId="4" fillId="24" borderId="1" xfId="0" applyFont="1" applyFill="1" applyBorder="1">
      <alignment vertical="center"/>
    </xf>
    <xf numFmtId="0" fontId="4" fillId="25" borderId="1" xfId="0" applyFont="1" applyFill="1" applyBorder="1">
      <alignment vertical="center"/>
    </xf>
    <xf numFmtId="0" fontId="0" fillId="26" borderId="1" xfId="0" applyFill="1" applyBorder="1">
      <alignment vertical="center"/>
    </xf>
    <xf numFmtId="0" fontId="0" fillId="11" borderId="1" xfId="0" applyFill="1" applyBorder="1" applyAlignment="1">
      <alignment vertical="top"/>
    </xf>
    <xf numFmtId="0" fontId="0" fillId="0" borderId="1" xfId="0" applyNumberFormat="1" applyBorder="1" applyAlignment="1">
      <alignment vertical="top"/>
    </xf>
    <xf numFmtId="0" fontId="3" fillId="4" borderId="2" xfId="0" applyNumberFormat="1" applyFont="1" applyFill="1" applyBorder="1" applyAlignment="1">
      <alignment vertical="top"/>
    </xf>
    <xf numFmtId="0" fontId="0" fillId="7" borderId="1" xfId="0" applyFill="1" applyBorder="1" applyAlignment="1">
      <alignment vertical="top"/>
    </xf>
    <xf numFmtId="0" fontId="0" fillId="8" borderId="1" xfId="0" applyFill="1" applyBorder="1" applyAlignment="1">
      <alignment vertical="top"/>
    </xf>
    <xf numFmtId="0" fontId="0" fillId="9" borderId="1" xfId="0" applyFill="1" applyBorder="1" applyAlignment="1">
      <alignment vertical="top"/>
    </xf>
    <xf numFmtId="0" fontId="0" fillId="10" borderId="1" xfId="0" applyFill="1" applyBorder="1" applyAlignment="1">
      <alignment vertical="top"/>
    </xf>
    <xf numFmtId="0" fontId="0" fillId="12" borderId="1" xfId="0" applyFill="1" applyBorder="1" applyAlignment="1">
      <alignment vertical="top"/>
    </xf>
    <xf numFmtId="0" fontId="0" fillId="13" borderId="1" xfId="0" applyFill="1" applyBorder="1" applyAlignment="1">
      <alignment vertical="top"/>
    </xf>
    <xf numFmtId="0" fontId="0" fillId="14" borderId="1" xfId="0" applyFill="1" applyBorder="1" applyAlignment="1">
      <alignment vertical="top"/>
    </xf>
    <xf numFmtId="0" fontId="0" fillId="15" borderId="1" xfId="0" applyFill="1" applyBorder="1" applyAlignment="1">
      <alignment vertical="top"/>
    </xf>
    <xf numFmtId="0" fontId="0" fillId="4" borderId="1" xfId="0" applyFill="1" applyBorder="1" applyAlignment="1">
      <alignment vertical="top"/>
    </xf>
    <xf numFmtId="0" fontId="2" fillId="27" borderId="4" xfId="0" applyNumberFormat="1" applyFont="1" applyFill="1" applyBorder="1" applyAlignment="1">
      <alignment vertical="top"/>
    </xf>
    <xf numFmtId="0" fontId="4" fillId="27" borderId="0" xfId="0" applyNumberFormat="1" applyFont="1" applyFill="1" applyBorder="1" applyAlignment="1">
      <alignment vertical="top"/>
    </xf>
    <xf numFmtId="0" fontId="2" fillId="27" borderId="7" xfId="0" applyNumberFormat="1" applyFont="1" applyFill="1" applyBorder="1" applyAlignment="1">
      <alignment vertical="top"/>
    </xf>
    <xf numFmtId="0" fontId="0" fillId="0" borderId="7" xfId="0" applyBorder="1" applyAlignment="1">
      <alignment vertical="top"/>
    </xf>
    <xf numFmtId="0" fontId="0" fillId="0" borderId="7" xfId="0" applyNumberFormat="1" applyBorder="1" applyAlignment="1">
      <alignment vertical="top"/>
    </xf>
    <xf numFmtId="0" fontId="0" fillId="0" borderId="7" xfId="0" applyFill="1" applyBorder="1" applyAlignment="1">
      <alignment vertical="top"/>
    </xf>
    <xf numFmtId="0" fontId="0" fillId="0" borderId="0" xfId="0" applyBorder="1" applyAlignment="1">
      <alignment vertical="top"/>
    </xf>
    <xf numFmtId="0" fontId="0" fillId="0" borderId="0" xfId="0" applyNumberFormat="1" applyBorder="1" applyAlignment="1">
      <alignment vertical="top"/>
    </xf>
    <xf numFmtId="0" fontId="0" fillId="0" borderId="0" xfId="0" applyFill="1" applyBorder="1" applyAlignment="1">
      <alignment vertical="top"/>
    </xf>
    <xf numFmtId="0" fontId="5" fillId="0" borderId="0" xfId="0" applyFont="1" applyBorder="1" applyAlignment="1">
      <alignment vertical="top"/>
    </xf>
    <xf numFmtId="0" fontId="0" fillId="28" borderId="1" xfId="0" applyFill="1" applyBorder="1">
      <alignment vertical="center"/>
    </xf>
    <xf numFmtId="0" fontId="0" fillId="28" borderId="1" xfId="0" applyFill="1" applyBorder="1" applyAlignment="1">
      <alignment vertical="top"/>
    </xf>
    <xf numFmtId="14" fontId="0" fillId="7" borderId="1" xfId="0" applyNumberFormat="1" applyFill="1" applyBorder="1" applyAlignment="1">
      <alignment vertical="top"/>
    </xf>
    <xf numFmtId="0" fontId="0" fillId="7" borderId="1" xfId="0" applyNumberFormat="1" applyFill="1" applyBorder="1" applyAlignment="1">
      <alignment vertical="top"/>
    </xf>
    <xf numFmtId="0" fontId="0" fillId="8" borderId="1" xfId="0" applyFill="1" applyBorder="1" applyAlignment="1">
      <alignment horizontal="left" vertical="top" indent="1"/>
    </xf>
    <xf numFmtId="0" fontId="0" fillId="8" borderId="1" xfId="0" applyNumberFormat="1" applyFill="1" applyBorder="1" applyAlignment="1">
      <alignment vertical="top"/>
    </xf>
    <xf numFmtId="0" fontId="0" fillId="9" borderId="1" xfId="0" applyNumberFormat="1" applyFill="1" applyBorder="1" applyAlignment="1">
      <alignment vertical="top"/>
    </xf>
    <xf numFmtId="0" fontId="0" fillId="10" borderId="1" xfId="0" applyFill="1" applyBorder="1" applyAlignment="1">
      <alignment horizontal="left" vertical="top" indent="1"/>
    </xf>
    <xf numFmtId="0" fontId="0" fillId="10" borderId="1" xfId="0" applyNumberFormat="1" applyFill="1" applyBorder="1" applyAlignment="1">
      <alignment vertical="top"/>
    </xf>
    <xf numFmtId="0" fontId="0" fillId="11" borderId="1" xfId="0" applyFill="1" applyBorder="1" applyAlignment="1">
      <alignment horizontal="left" vertical="top" indent="1"/>
    </xf>
    <xf numFmtId="0" fontId="0" fillId="11" borderId="1" xfId="0" applyNumberFormat="1" applyFill="1" applyBorder="1" applyAlignment="1">
      <alignment vertical="top"/>
    </xf>
    <xf numFmtId="0" fontId="0" fillId="12" borderId="1" xfId="0" applyFill="1" applyBorder="1" applyAlignment="1">
      <alignment horizontal="left" vertical="top" indent="1"/>
    </xf>
    <xf numFmtId="0" fontId="0" fillId="12" borderId="1" xfId="0" applyNumberFormat="1" applyFill="1" applyBorder="1" applyAlignment="1">
      <alignment vertical="top"/>
    </xf>
    <xf numFmtId="0" fontId="0" fillId="28" borderId="1" xfId="0" applyFill="1" applyBorder="1" applyAlignment="1">
      <alignment horizontal="left" vertical="top" indent="1"/>
    </xf>
    <xf numFmtId="0" fontId="0" fillId="28" borderId="1" xfId="0" applyNumberFormat="1" applyFill="1" applyBorder="1" applyAlignment="1">
      <alignment vertical="top"/>
    </xf>
    <xf numFmtId="0" fontId="0" fillId="13" borderId="1" xfId="0" applyFill="1" applyBorder="1" applyAlignment="1">
      <alignment horizontal="left" vertical="top" indent="1"/>
    </xf>
    <xf numFmtId="0" fontId="0" fillId="13" borderId="1" xfId="0" applyNumberFormat="1" applyFill="1" applyBorder="1" applyAlignment="1">
      <alignment vertical="top"/>
    </xf>
    <xf numFmtId="0" fontId="0" fillId="14" borderId="1" xfId="0" applyFill="1" applyBorder="1" applyAlignment="1">
      <alignment horizontal="left" vertical="top" indent="1"/>
    </xf>
    <xf numFmtId="0" fontId="0" fillId="14" borderId="1" xfId="0" applyNumberFormat="1" applyFill="1" applyBorder="1" applyAlignment="1">
      <alignment vertical="top"/>
    </xf>
    <xf numFmtId="0" fontId="0" fillId="15" borderId="1" xfId="0" applyNumberFormat="1" applyFill="1" applyBorder="1" applyAlignment="1">
      <alignment vertical="top"/>
    </xf>
    <xf numFmtId="0" fontId="0" fillId="26" borderId="1" xfId="0" applyFill="1" applyBorder="1" applyAlignment="1">
      <alignment vertical="top"/>
    </xf>
    <xf numFmtId="0" fontId="0" fillId="16" borderId="1" xfId="0" applyFill="1" applyBorder="1" applyAlignment="1">
      <alignment vertical="top"/>
    </xf>
    <xf numFmtId="0" fontId="0" fillId="17" borderId="1" xfId="0" applyFill="1" applyBorder="1" applyAlignment="1">
      <alignment vertical="top"/>
    </xf>
    <xf numFmtId="0" fontId="0" fillId="18" borderId="1" xfId="0" applyFill="1" applyBorder="1" applyAlignment="1">
      <alignment vertical="top"/>
    </xf>
    <xf numFmtId="0" fontId="0" fillId="19" borderId="1" xfId="0" applyFill="1" applyBorder="1" applyAlignment="1">
      <alignment vertical="top"/>
    </xf>
    <xf numFmtId="0" fontId="0" fillId="20" borderId="1" xfId="0" applyFill="1" applyBorder="1" applyAlignment="1">
      <alignment vertical="top"/>
    </xf>
    <xf numFmtId="0" fontId="0" fillId="21" borderId="1" xfId="0" applyFill="1" applyBorder="1" applyAlignment="1">
      <alignment vertical="top"/>
    </xf>
    <xf numFmtId="0" fontId="0" fillId="22" borderId="1" xfId="0" applyFill="1" applyBorder="1" applyAlignment="1">
      <alignment vertical="top"/>
    </xf>
    <xf numFmtId="0" fontId="0" fillId="23" borderId="1" xfId="0" applyFill="1" applyBorder="1" applyAlignment="1">
      <alignment vertical="top"/>
    </xf>
    <xf numFmtId="0" fontId="0" fillId="24" borderId="1" xfId="0" applyFill="1" applyBorder="1" applyAlignment="1">
      <alignment vertical="top"/>
    </xf>
    <xf numFmtId="14" fontId="0" fillId="12" borderId="1" xfId="0" applyNumberFormat="1" applyFill="1" applyBorder="1" applyAlignment="1">
      <alignment vertical="top"/>
    </xf>
    <xf numFmtId="14" fontId="0" fillId="8" borderId="1" xfId="0" applyNumberFormat="1" applyFill="1" applyBorder="1" applyAlignment="1">
      <alignment vertical="top"/>
    </xf>
    <xf numFmtId="14" fontId="0" fillId="9" borderId="1" xfId="0" applyNumberFormat="1" applyFill="1" applyBorder="1" applyAlignment="1">
      <alignment vertical="top"/>
    </xf>
    <xf numFmtId="14" fontId="0" fillId="10" borderId="1" xfId="0" applyNumberFormat="1" applyFill="1" applyBorder="1" applyAlignment="1">
      <alignment vertical="top"/>
    </xf>
    <xf numFmtId="14" fontId="0" fillId="11" borderId="1" xfId="0" applyNumberFormat="1" applyFill="1" applyBorder="1" applyAlignment="1">
      <alignment vertical="top"/>
    </xf>
    <xf numFmtId="14" fontId="0" fillId="28" borderId="1" xfId="0" applyNumberFormat="1" applyFill="1" applyBorder="1" applyAlignment="1">
      <alignment vertical="top"/>
    </xf>
    <xf numFmtId="14" fontId="0" fillId="13" borderId="1" xfId="0" applyNumberFormat="1" applyFill="1" applyBorder="1" applyAlignment="1">
      <alignment vertical="top"/>
    </xf>
    <xf numFmtId="14" fontId="0" fillId="14" borderId="1" xfId="0" applyNumberFormat="1" applyFill="1" applyBorder="1" applyAlignment="1">
      <alignment vertical="top"/>
    </xf>
    <xf numFmtId="14" fontId="0" fillId="15" borderId="1" xfId="0" applyNumberFormat="1" applyFill="1" applyBorder="1" applyAlignment="1">
      <alignment vertical="top"/>
    </xf>
    <xf numFmtId="0" fontId="2" fillId="29" borderId="4" xfId="0" applyNumberFormat="1" applyFont="1" applyFill="1" applyBorder="1" applyAlignment="1">
      <alignment vertical="top"/>
    </xf>
    <xf numFmtId="0" fontId="4" fillId="29" borderId="0" xfId="0" applyNumberFormat="1" applyFont="1" applyFill="1" applyBorder="1" applyAlignment="1">
      <alignment vertical="top"/>
    </xf>
    <xf numFmtId="0" fontId="2" fillId="29" borderId="7" xfId="0" applyNumberFormat="1" applyFont="1" applyFill="1" applyBorder="1" applyAlignment="1">
      <alignment vertical="top"/>
    </xf>
  </cellXfs>
  <cellStyles count="1">
    <cellStyle name="標準" xfId="0" builtinId="0"/>
  </cellStyles>
  <dxfs count="42">
    <dxf>
      <fill>
        <patternFill>
          <bgColor rgb="FFC0E2E6"/>
        </patternFill>
      </fill>
    </dxf>
    <dxf>
      <fill>
        <patternFill>
          <bgColor rgb="FFFDCF94"/>
        </patternFill>
      </fill>
    </dxf>
    <dxf>
      <fill>
        <patternFill>
          <bgColor rgb="FFDFDCD5"/>
        </patternFill>
      </fill>
    </dxf>
    <dxf>
      <fill>
        <patternFill>
          <bgColor rgb="FFF2F0DA"/>
        </patternFill>
      </fill>
    </dxf>
    <dxf>
      <fill>
        <patternFill>
          <bgColor rgb="FFFBCAD2"/>
        </patternFill>
      </fill>
    </dxf>
    <dxf>
      <fill>
        <patternFill>
          <bgColor rgb="FFA7EDA9"/>
        </patternFill>
      </fill>
    </dxf>
    <dxf>
      <fill>
        <patternFill>
          <bgColor rgb="FFE4D3F1"/>
        </patternFill>
      </fill>
    </dxf>
    <dxf>
      <fill>
        <patternFill>
          <bgColor rgb="FFFFACB7"/>
        </patternFill>
      </fill>
    </dxf>
    <dxf>
      <fill>
        <patternFill>
          <bgColor rgb="FFFEF28B"/>
        </patternFill>
      </fill>
    </dxf>
    <dxf>
      <fill>
        <patternFill>
          <bgColor rgb="FF9AE7D9"/>
        </patternFill>
      </fill>
    </dxf>
    <dxf>
      <fill>
        <patternFill>
          <bgColor theme="0"/>
        </patternFill>
      </fill>
    </dxf>
    <dxf>
      <fill>
        <patternFill>
          <bgColor rgb="FFF2F2F2"/>
        </patternFill>
      </fill>
    </dxf>
    <dxf>
      <fill>
        <patternFill>
          <bgColor rgb="FFE6E6E6"/>
        </patternFill>
      </fill>
    </dxf>
    <dxf>
      <fill>
        <patternFill>
          <bgColor rgb="FFCCCCCC"/>
        </patternFill>
      </fill>
    </dxf>
    <dxf>
      <font>
        <color theme="0"/>
      </font>
      <fill>
        <patternFill>
          <bgColor rgb="FFB3B3B3"/>
        </patternFill>
      </fill>
    </dxf>
    <dxf>
      <font>
        <color theme="0"/>
      </font>
      <fill>
        <patternFill>
          <bgColor rgb="FF999999"/>
        </patternFill>
      </fill>
    </dxf>
    <dxf>
      <font>
        <color theme="0"/>
      </font>
      <fill>
        <patternFill>
          <bgColor rgb="FF808080"/>
        </patternFill>
      </fill>
    </dxf>
    <dxf>
      <font>
        <color theme="0"/>
      </font>
      <fill>
        <patternFill>
          <bgColor rgb="FF666666"/>
        </patternFill>
      </fill>
    </dxf>
    <dxf>
      <font>
        <color theme="0"/>
      </font>
      <fill>
        <patternFill>
          <bgColor rgb="FF4D4D4D"/>
        </patternFill>
      </fill>
    </dxf>
    <dxf>
      <font>
        <color theme="0"/>
      </font>
      <fill>
        <patternFill>
          <bgColor rgb="FF333333"/>
        </patternFill>
      </fill>
    </dxf>
    <dxf>
      <font>
        <color theme="0"/>
      </font>
      <fill>
        <patternFill>
          <bgColor rgb="FF1A1A1A"/>
        </patternFill>
      </fill>
    </dxf>
    <dxf>
      <fill>
        <patternFill>
          <bgColor rgb="FFC0E2E6"/>
        </patternFill>
      </fill>
    </dxf>
    <dxf>
      <fill>
        <patternFill>
          <bgColor rgb="FFFDCF94"/>
        </patternFill>
      </fill>
    </dxf>
    <dxf>
      <fill>
        <patternFill>
          <bgColor rgb="FFDFDCD5"/>
        </patternFill>
      </fill>
    </dxf>
    <dxf>
      <fill>
        <patternFill>
          <bgColor rgb="FFF2F0DA"/>
        </patternFill>
      </fill>
    </dxf>
    <dxf>
      <fill>
        <patternFill>
          <bgColor rgb="FFFBCAD2"/>
        </patternFill>
      </fill>
    </dxf>
    <dxf>
      <fill>
        <patternFill>
          <bgColor rgb="FFA7EDA9"/>
        </patternFill>
      </fill>
    </dxf>
    <dxf>
      <fill>
        <patternFill>
          <bgColor rgb="FFE4D3F1"/>
        </patternFill>
      </fill>
    </dxf>
    <dxf>
      <fill>
        <patternFill>
          <bgColor rgb="FFFFACB7"/>
        </patternFill>
      </fill>
    </dxf>
    <dxf>
      <fill>
        <patternFill>
          <bgColor rgb="FFFEF28B"/>
        </patternFill>
      </fill>
    </dxf>
    <dxf>
      <fill>
        <patternFill>
          <bgColor rgb="FF9AE7D9"/>
        </patternFill>
      </fill>
    </dxf>
    <dxf>
      <fill>
        <patternFill>
          <bgColor theme="0"/>
        </patternFill>
      </fill>
    </dxf>
    <dxf>
      <fill>
        <patternFill>
          <bgColor rgb="FFF2F2F2"/>
        </patternFill>
      </fill>
    </dxf>
    <dxf>
      <fill>
        <patternFill>
          <bgColor rgb="FFE6E6E6"/>
        </patternFill>
      </fill>
    </dxf>
    <dxf>
      <fill>
        <patternFill>
          <bgColor rgb="FFCCCCCC"/>
        </patternFill>
      </fill>
    </dxf>
    <dxf>
      <font>
        <color theme="0"/>
      </font>
      <fill>
        <patternFill>
          <bgColor rgb="FFB3B3B3"/>
        </patternFill>
      </fill>
    </dxf>
    <dxf>
      <font>
        <color theme="0"/>
      </font>
      <fill>
        <patternFill>
          <bgColor rgb="FF999999"/>
        </patternFill>
      </fill>
    </dxf>
    <dxf>
      <font>
        <color theme="0"/>
      </font>
      <fill>
        <patternFill>
          <bgColor rgb="FF808080"/>
        </patternFill>
      </fill>
    </dxf>
    <dxf>
      <font>
        <color theme="0"/>
      </font>
      <fill>
        <patternFill>
          <bgColor rgb="FF666666"/>
        </patternFill>
      </fill>
    </dxf>
    <dxf>
      <font>
        <color theme="0"/>
      </font>
      <fill>
        <patternFill>
          <bgColor rgb="FF4D4D4D"/>
        </patternFill>
      </fill>
    </dxf>
    <dxf>
      <font>
        <color theme="0"/>
      </font>
      <fill>
        <patternFill>
          <bgColor rgb="FF333333"/>
        </patternFill>
      </fill>
    </dxf>
    <dxf>
      <font>
        <color theme="0"/>
      </font>
      <fill>
        <patternFill>
          <bgColor rgb="FF1A1A1A"/>
        </patternFill>
      </fill>
    </dxf>
  </dxfs>
  <tableStyles count="0" defaultTableStyle="TableStyleMedium2" defaultPivotStyle="PivotStyleLight16"/>
  <colors>
    <mruColors>
      <color rgb="FFE4D3F1"/>
      <color rgb="FFDAC3EB"/>
      <color rgb="FFD4BAE8"/>
      <color rgb="FFFFEBD1"/>
      <color rgb="FF00CC99"/>
      <color rgb="FF3EB05C"/>
      <color rgb="FF1A1A1A"/>
      <color rgb="FF333333"/>
      <color rgb="FF4D4D4D"/>
      <color rgb="FF6666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inSheet"/>
  <dimension ref="A1:FR38"/>
  <sheetViews>
    <sheetView tabSelected="1" zoomScaleNormal="100" workbookViewId="0">
      <pane xSplit="9" ySplit="5" topLeftCell="J6" activePane="bottomRight" state="frozen"/>
      <selection pane="topRight" activeCell="J1" sqref="J1"/>
      <selection pane="bottomLeft" activeCell="A4" sqref="A4"/>
      <selection pane="bottomRight" activeCell="A13" sqref="A13"/>
    </sheetView>
  </sheetViews>
  <sheetFormatPr defaultRowHeight="16.5" x14ac:dyDescent="0.4"/>
  <cols>
    <col min="1" max="1" width="16.25" style="1" customWidth="1"/>
    <col min="2" max="2" width="4" style="1" customWidth="1"/>
    <col min="3" max="3" width="12.5" style="1" customWidth="1"/>
    <col min="4" max="4" width="9" style="1" customWidth="1"/>
    <col min="5" max="5" width="11.25" style="2" customWidth="1"/>
    <col min="6" max="7" width="8.25" style="46" bestFit="1" customWidth="1"/>
    <col min="8" max="8" width="11.25" style="2" customWidth="1"/>
    <col min="9" max="9" width="9" style="1" customWidth="1"/>
    <col min="10" max="222" width="3" style="7" customWidth="1"/>
    <col min="223" max="16384" width="9" style="7"/>
  </cols>
  <sheetData>
    <row r="1" spans="1:174" s="65" customFormat="1" x14ac:dyDescent="0.4">
      <c r="A1" s="66" t="s">
        <v>96</v>
      </c>
      <c r="B1" s="63"/>
      <c r="C1" s="63"/>
      <c r="D1" s="63"/>
      <c r="E1" s="64"/>
      <c r="F1" s="64"/>
      <c r="G1" s="64"/>
      <c r="H1" s="64"/>
      <c r="I1" s="63"/>
      <c r="J1" s="65" t="str">
        <f>member!$B$2</f>
        <v>member0</v>
      </c>
      <c r="N1" s="65" t="str">
        <f>member!$B$3</f>
        <v>member1</v>
      </c>
      <c r="R1" s="65" t="str">
        <f>member!$B$4</f>
        <v>member2</v>
      </c>
      <c r="V1" s="65" t="str">
        <f>member!$B$5</f>
        <v>member3</v>
      </c>
      <c r="Z1" s="65" t="str">
        <f>member!$B$6</f>
        <v>member4</v>
      </c>
    </row>
    <row r="2" spans="1:174" s="62" customFormat="1" x14ac:dyDescent="0.4">
      <c r="A2" s="60"/>
      <c r="B2" s="60"/>
      <c r="C2" s="60"/>
      <c r="D2" s="60"/>
      <c r="E2" s="61"/>
      <c r="F2" s="61"/>
      <c r="G2" s="61"/>
      <c r="H2" s="61"/>
      <c r="I2" s="60"/>
      <c r="J2" s="65" t="str">
        <f>member!$B$7</f>
        <v>member5</v>
      </c>
      <c r="K2" s="65"/>
      <c r="L2" s="65"/>
      <c r="M2" s="65"/>
      <c r="N2" s="65" t="str">
        <f>member!$B$8</f>
        <v>member6</v>
      </c>
      <c r="O2" s="65"/>
      <c r="P2" s="65"/>
      <c r="Q2" s="65"/>
      <c r="R2" s="65" t="str">
        <f>member!$B$9</f>
        <v>member7</v>
      </c>
      <c r="S2" s="65"/>
      <c r="T2" s="65"/>
      <c r="U2" s="65"/>
      <c r="V2" s="65" t="str">
        <f>member!$B$10</f>
        <v>member8</v>
      </c>
      <c r="W2" s="65"/>
      <c r="X2" s="65"/>
      <c r="Y2" s="65"/>
      <c r="Z2" s="65" t="str">
        <f>member!$B$11</f>
        <v>member9</v>
      </c>
    </row>
    <row r="3" spans="1:174" s="13" customFormat="1" ht="19.5" customHeight="1" x14ac:dyDescent="0.4">
      <c r="A3" s="11"/>
      <c r="B3" s="12"/>
      <c r="C3" s="12"/>
      <c r="D3" s="12"/>
      <c r="E3" s="12"/>
      <c r="F3" s="12"/>
      <c r="G3" s="12"/>
      <c r="H3" s="12"/>
      <c r="I3" s="12"/>
      <c r="J3" s="57" t="s">
        <v>98</v>
      </c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  <c r="AD3" s="57">
        <v>2</v>
      </c>
      <c r="AE3" s="57"/>
      <c r="AF3" s="57"/>
      <c r="AG3" s="57"/>
      <c r="AH3" s="57"/>
      <c r="AI3" s="57"/>
      <c r="AJ3" s="57"/>
      <c r="AK3" s="57"/>
      <c r="AL3" s="57"/>
      <c r="AM3" s="57"/>
      <c r="AN3" s="57"/>
      <c r="AO3" s="57"/>
      <c r="AP3" s="57"/>
      <c r="AQ3" s="57"/>
      <c r="AR3" s="57"/>
      <c r="AS3" s="57"/>
      <c r="AT3" s="57"/>
      <c r="AU3" s="57"/>
      <c r="AV3" s="57"/>
      <c r="AW3" s="57"/>
      <c r="AX3" s="57"/>
      <c r="AY3" s="57"/>
      <c r="AZ3" s="57"/>
      <c r="BA3" s="57"/>
      <c r="BB3" s="57"/>
      <c r="BC3" s="57"/>
      <c r="BD3" s="57"/>
      <c r="BE3" s="57"/>
      <c r="BF3" s="57"/>
      <c r="BG3" s="57"/>
      <c r="BH3" s="57"/>
      <c r="BI3" s="57"/>
      <c r="BJ3" s="57"/>
      <c r="BK3" s="57"/>
      <c r="BL3" s="57"/>
      <c r="BM3" s="57"/>
      <c r="BN3" s="57"/>
      <c r="BO3" s="57"/>
      <c r="BP3" s="57"/>
      <c r="BQ3" s="57"/>
      <c r="BR3" s="57"/>
      <c r="BS3" s="57"/>
      <c r="BT3" s="57"/>
      <c r="BU3" s="57"/>
      <c r="BV3" s="57"/>
      <c r="BW3" s="57"/>
      <c r="BX3" s="57"/>
      <c r="BY3" s="57"/>
      <c r="BZ3" s="57"/>
      <c r="CA3" s="57"/>
      <c r="CB3" s="57"/>
      <c r="CC3" s="57"/>
      <c r="CD3" s="57"/>
      <c r="CE3" s="57"/>
      <c r="CF3" s="57"/>
      <c r="CG3" s="57"/>
      <c r="CH3" s="57"/>
      <c r="CI3" s="57"/>
      <c r="CJ3" s="57"/>
      <c r="CK3" s="57"/>
      <c r="CL3" s="57"/>
      <c r="CM3" s="57"/>
      <c r="CN3" s="57"/>
      <c r="CO3" s="57"/>
      <c r="CP3" s="57"/>
      <c r="CQ3" s="57"/>
      <c r="CR3" s="57"/>
      <c r="CS3" s="57"/>
      <c r="CT3" s="57"/>
      <c r="CU3" s="57"/>
      <c r="CV3" s="57"/>
      <c r="CW3" s="57"/>
      <c r="CX3" s="57"/>
      <c r="CY3" s="57"/>
      <c r="CZ3" s="57"/>
      <c r="DA3" s="57"/>
      <c r="DB3" s="57"/>
      <c r="DC3" s="57"/>
      <c r="DD3" s="57"/>
      <c r="DE3" s="57"/>
      <c r="DF3" s="57"/>
      <c r="DG3" s="57"/>
      <c r="DH3" s="57"/>
      <c r="DI3" s="57"/>
      <c r="DJ3" s="57"/>
      <c r="DK3" s="57"/>
      <c r="DL3" s="57"/>
      <c r="DM3" s="57"/>
      <c r="DN3" s="57"/>
      <c r="DO3" s="57"/>
      <c r="DP3" s="57"/>
      <c r="DQ3" s="57"/>
      <c r="DR3" s="57"/>
      <c r="DS3" s="57"/>
      <c r="DT3" s="57"/>
      <c r="DU3" s="57"/>
      <c r="DV3" s="57"/>
      <c r="DW3" s="57"/>
      <c r="DX3" s="57"/>
      <c r="DY3" s="57"/>
      <c r="DZ3" s="57"/>
      <c r="EA3" s="57"/>
      <c r="EB3" s="57"/>
      <c r="EC3" s="57"/>
      <c r="ED3" s="57"/>
      <c r="EE3" s="57"/>
      <c r="EF3" s="57"/>
      <c r="EG3" s="57"/>
      <c r="EH3" s="57"/>
      <c r="EI3" s="57"/>
      <c r="EJ3" s="57"/>
      <c r="EK3" s="57"/>
      <c r="EL3" s="57"/>
      <c r="EM3" s="106"/>
      <c r="EN3" s="57"/>
      <c r="EO3" s="57"/>
      <c r="EP3" s="57"/>
      <c r="EQ3" s="57"/>
      <c r="ER3" s="57"/>
      <c r="ES3" s="57"/>
      <c r="ET3" s="57"/>
      <c r="EU3" s="57"/>
      <c r="EV3" s="57"/>
      <c r="EW3" s="57"/>
      <c r="EX3" s="57"/>
      <c r="EY3" s="57"/>
      <c r="EZ3" s="57"/>
      <c r="FA3" s="57"/>
      <c r="FB3" s="57"/>
      <c r="FC3" s="57"/>
      <c r="FD3" s="57"/>
      <c r="FE3" s="57"/>
      <c r="FF3" s="57"/>
      <c r="FG3" s="57"/>
      <c r="FH3" s="57"/>
      <c r="FI3" s="57"/>
      <c r="FJ3" s="57"/>
      <c r="FK3" s="57"/>
      <c r="FL3" s="57"/>
      <c r="FM3" s="57"/>
      <c r="FN3" s="57"/>
      <c r="FO3" s="57"/>
      <c r="FP3" s="57"/>
      <c r="FQ3" s="57"/>
      <c r="FR3" s="57"/>
    </row>
    <row r="4" spans="1:174" s="5" customFormat="1" x14ac:dyDescent="0.4">
      <c r="A4" s="14" t="s">
        <v>65</v>
      </c>
      <c r="B4" s="10" t="s">
        <v>56</v>
      </c>
      <c r="C4" s="10" t="s">
        <v>57</v>
      </c>
      <c r="D4" s="10" t="s">
        <v>58</v>
      </c>
      <c r="E4" s="10" t="s">
        <v>59</v>
      </c>
      <c r="F4" s="10" t="s">
        <v>60</v>
      </c>
      <c r="G4" s="10" t="s">
        <v>61</v>
      </c>
      <c r="H4" s="10" t="s">
        <v>62</v>
      </c>
      <c r="I4" s="10" t="s">
        <v>63</v>
      </c>
      <c r="J4" s="58">
        <v>12</v>
      </c>
      <c r="K4" s="58">
        <v>13</v>
      </c>
      <c r="L4" s="58">
        <v>14</v>
      </c>
      <c r="M4" s="58">
        <v>15</v>
      </c>
      <c r="N4" s="58">
        <v>16</v>
      </c>
      <c r="O4" s="58">
        <v>17</v>
      </c>
      <c r="P4" s="58">
        <v>18</v>
      </c>
      <c r="Q4" s="58">
        <v>19</v>
      </c>
      <c r="R4" s="58">
        <v>20</v>
      </c>
      <c r="S4" s="58">
        <v>21</v>
      </c>
      <c r="T4" s="58">
        <v>22</v>
      </c>
      <c r="U4" s="58">
        <v>23</v>
      </c>
      <c r="V4" s="58">
        <v>24</v>
      </c>
      <c r="W4" s="58">
        <v>25</v>
      </c>
      <c r="X4" s="58">
        <v>26</v>
      </c>
      <c r="Y4" s="58">
        <v>27</v>
      </c>
      <c r="Z4" s="58">
        <v>28</v>
      </c>
      <c r="AA4" s="58">
        <v>29</v>
      </c>
      <c r="AB4" s="58">
        <v>30</v>
      </c>
      <c r="AC4" s="58">
        <v>31</v>
      </c>
      <c r="AD4" s="58">
        <v>1</v>
      </c>
      <c r="AE4" s="58">
        <v>2</v>
      </c>
      <c r="AF4" s="58">
        <v>3</v>
      </c>
      <c r="AG4" s="58">
        <v>4</v>
      </c>
      <c r="AH4" s="58">
        <v>5</v>
      </c>
      <c r="AI4" s="58">
        <v>6</v>
      </c>
      <c r="AJ4" s="58">
        <v>7</v>
      </c>
      <c r="AK4" s="58">
        <v>8</v>
      </c>
      <c r="AL4" s="58">
        <v>9</v>
      </c>
      <c r="AM4" s="58">
        <v>10</v>
      </c>
      <c r="AN4" s="58">
        <v>11</v>
      </c>
      <c r="AO4" s="58">
        <v>12</v>
      </c>
      <c r="AP4" s="58">
        <v>13</v>
      </c>
      <c r="AQ4" s="58">
        <v>14</v>
      </c>
      <c r="AR4" s="58">
        <v>15</v>
      </c>
      <c r="AS4" s="58">
        <v>16</v>
      </c>
      <c r="AT4" s="58">
        <v>17</v>
      </c>
      <c r="AU4" s="58">
        <v>18</v>
      </c>
      <c r="AV4" s="58">
        <v>19</v>
      </c>
      <c r="AW4" s="58">
        <v>20</v>
      </c>
      <c r="AX4" s="58">
        <v>21</v>
      </c>
      <c r="AY4" s="58">
        <v>22</v>
      </c>
      <c r="AZ4" s="58">
        <v>23</v>
      </c>
      <c r="BA4" s="58"/>
      <c r="BB4" s="58"/>
      <c r="BC4" s="58"/>
      <c r="BD4" s="58"/>
      <c r="BE4" s="58"/>
      <c r="BF4" s="58"/>
      <c r="BG4" s="58"/>
      <c r="BH4" s="58"/>
      <c r="BI4" s="58"/>
      <c r="BJ4" s="58"/>
      <c r="BK4" s="58"/>
      <c r="BL4" s="58"/>
      <c r="BM4" s="58"/>
      <c r="BN4" s="58"/>
      <c r="BO4" s="58"/>
      <c r="BP4" s="58"/>
      <c r="BQ4" s="58"/>
      <c r="BR4" s="58"/>
      <c r="BS4" s="58"/>
      <c r="BT4" s="58"/>
      <c r="BU4" s="58"/>
      <c r="BV4" s="58"/>
      <c r="BW4" s="58"/>
      <c r="BX4" s="58"/>
      <c r="BY4" s="58"/>
      <c r="BZ4" s="58"/>
      <c r="CA4" s="58"/>
      <c r="CB4" s="58"/>
      <c r="CC4" s="58"/>
      <c r="CD4" s="58"/>
      <c r="CE4" s="58"/>
      <c r="CF4" s="58"/>
      <c r="CG4" s="58"/>
      <c r="CH4" s="58"/>
      <c r="CI4" s="58"/>
      <c r="CJ4" s="58"/>
      <c r="CK4" s="58"/>
      <c r="CL4" s="58"/>
      <c r="CM4" s="58"/>
      <c r="CN4" s="58"/>
      <c r="CO4" s="58"/>
      <c r="CP4" s="58"/>
      <c r="CQ4" s="58"/>
      <c r="CR4" s="58"/>
      <c r="CS4" s="58"/>
      <c r="CT4" s="58"/>
      <c r="CU4" s="58"/>
      <c r="CV4" s="58"/>
      <c r="CW4" s="58"/>
      <c r="CX4" s="58"/>
      <c r="CY4" s="58"/>
      <c r="CZ4" s="58"/>
      <c r="DA4" s="58"/>
      <c r="DB4" s="58"/>
      <c r="DC4" s="58"/>
      <c r="DD4" s="58"/>
      <c r="DE4" s="58"/>
      <c r="DF4" s="58"/>
      <c r="DG4" s="58"/>
      <c r="DH4" s="58"/>
      <c r="DI4" s="58"/>
      <c r="DJ4" s="58"/>
      <c r="DK4" s="58"/>
      <c r="DL4" s="58"/>
      <c r="DM4" s="58"/>
      <c r="DN4" s="58"/>
      <c r="DO4" s="58"/>
      <c r="DP4" s="58"/>
      <c r="DQ4" s="58"/>
      <c r="DR4" s="58"/>
      <c r="DS4" s="58"/>
      <c r="DT4" s="58"/>
      <c r="DU4" s="58"/>
      <c r="DV4" s="58"/>
      <c r="DW4" s="58"/>
      <c r="DX4" s="58"/>
      <c r="DY4" s="58"/>
      <c r="DZ4" s="58"/>
      <c r="EA4" s="58"/>
      <c r="EB4" s="58"/>
      <c r="EC4" s="58"/>
      <c r="ED4" s="58"/>
      <c r="EE4" s="58"/>
      <c r="EF4" s="58"/>
      <c r="EG4" s="58"/>
      <c r="EH4" s="58"/>
      <c r="EI4" s="58"/>
      <c r="EJ4" s="58"/>
      <c r="EK4" s="58"/>
      <c r="EL4" s="58"/>
      <c r="EM4" s="107"/>
      <c r="EN4" s="58"/>
      <c r="EO4" s="58"/>
      <c r="EP4" s="58"/>
      <c r="EQ4" s="58"/>
      <c r="ER4" s="58"/>
      <c r="ES4" s="58"/>
      <c r="ET4" s="58"/>
      <c r="EU4" s="58"/>
      <c r="EV4" s="58"/>
      <c r="EW4" s="58"/>
      <c r="EX4" s="58"/>
      <c r="EY4" s="58"/>
      <c r="EZ4" s="58"/>
      <c r="FA4" s="58"/>
      <c r="FB4" s="58"/>
      <c r="FC4" s="58"/>
      <c r="FD4" s="58"/>
      <c r="FE4" s="58"/>
      <c r="FF4" s="58"/>
      <c r="FG4" s="58"/>
      <c r="FH4" s="58"/>
      <c r="FI4" s="58"/>
      <c r="FJ4" s="58"/>
      <c r="FK4" s="58"/>
      <c r="FL4" s="58"/>
      <c r="FM4" s="58"/>
      <c r="FN4" s="58"/>
      <c r="FO4" s="58"/>
      <c r="FP4" s="58"/>
      <c r="FQ4" s="58"/>
      <c r="FR4" s="58"/>
    </row>
    <row r="5" spans="1:174" s="17" customFormat="1" x14ac:dyDescent="0.4">
      <c r="A5" s="15"/>
      <c r="B5" s="16"/>
      <c r="C5" s="16"/>
      <c r="D5" s="16"/>
      <c r="E5" s="16"/>
      <c r="F5" s="16"/>
      <c r="G5" s="16"/>
      <c r="H5" s="16"/>
      <c r="I5" s="16"/>
      <c r="J5" s="59" t="s">
        <v>26</v>
      </c>
      <c r="K5" s="59" t="s">
        <v>31</v>
      </c>
      <c r="L5" s="59" t="s">
        <v>47</v>
      </c>
      <c r="M5" s="59" t="s">
        <v>34</v>
      </c>
      <c r="N5" s="59" t="s">
        <v>36</v>
      </c>
      <c r="O5" s="59" t="s">
        <v>38</v>
      </c>
      <c r="P5" s="59" t="s">
        <v>28</v>
      </c>
      <c r="Q5" s="59" t="s">
        <v>26</v>
      </c>
      <c r="R5" s="59" t="s">
        <v>31</v>
      </c>
      <c r="S5" s="59" t="s">
        <v>47</v>
      </c>
      <c r="T5" s="59" t="s">
        <v>34</v>
      </c>
      <c r="U5" s="59" t="s">
        <v>36</v>
      </c>
      <c r="V5" s="59" t="s">
        <v>38</v>
      </c>
      <c r="W5" s="59" t="s">
        <v>28</v>
      </c>
      <c r="X5" s="59" t="s">
        <v>26</v>
      </c>
      <c r="Y5" s="59" t="s">
        <v>31</v>
      </c>
      <c r="Z5" s="59" t="s">
        <v>47</v>
      </c>
      <c r="AA5" s="59" t="s">
        <v>34</v>
      </c>
      <c r="AB5" s="59" t="s">
        <v>36</v>
      </c>
      <c r="AC5" s="59" t="s">
        <v>38</v>
      </c>
      <c r="AD5" s="59" t="s">
        <v>28</v>
      </c>
      <c r="AE5" s="59" t="s">
        <v>26</v>
      </c>
      <c r="AF5" s="59" t="s">
        <v>31</v>
      </c>
      <c r="AG5" s="59" t="s">
        <v>47</v>
      </c>
      <c r="AH5" s="59" t="s">
        <v>34</v>
      </c>
      <c r="AI5" s="59" t="s">
        <v>36</v>
      </c>
      <c r="AJ5" s="59" t="s">
        <v>38</v>
      </c>
      <c r="AK5" s="59" t="s">
        <v>28</v>
      </c>
      <c r="AL5" s="59" t="s">
        <v>26</v>
      </c>
      <c r="AM5" s="59" t="s">
        <v>31</v>
      </c>
      <c r="AN5" s="59" t="s">
        <v>47</v>
      </c>
      <c r="AO5" s="59" t="s">
        <v>34</v>
      </c>
      <c r="AP5" s="59" t="s">
        <v>36</v>
      </c>
      <c r="AQ5" s="59" t="s">
        <v>38</v>
      </c>
      <c r="AR5" s="59" t="s">
        <v>28</v>
      </c>
      <c r="AS5" s="59" t="s">
        <v>26</v>
      </c>
      <c r="AT5" s="59" t="s">
        <v>31</v>
      </c>
      <c r="AU5" s="59" t="s">
        <v>47</v>
      </c>
      <c r="AV5" s="59" t="s">
        <v>34</v>
      </c>
      <c r="AW5" s="59" t="s">
        <v>36</v>
      </c>
      <c r="AX5" s="59" t="s">
        <v>38</v>
      </c>
      <c r="AY5" s="59" t="s">
        <v>28</v>
      </c>
      <c r="AZ5" s="59" t="s">
        <v>26</v>
      </c>
      <c r="BA5" s="59"/>
      <c r="BB5" s="59"/>
      <c r="BC5" s="59"/>
      <c r="BD5" s="59"/>
      <c r="BE5" s="59"/>
      <c r="BF5" s="59"/>
      <c r="BG5" s="59"/>
      <c r="BH5" s="59"/>
      <c r="BI5" s="59"/>
      <c r="BJ5" s="59"/>
      <c r="BK5" s="59"/>
      <c r="BL5" s="59"/>
      <c r="BM5" s="59"/>
      <c r="BN5" s="59"/>
      <c r="BO5" s="59"/>
      <c r="BP5" s="59"/>
      <c r="BQ5" s="59"/>
      <c r="BR5" s="59"/>
      <c r="BS5" s="59"/>
      <c r="BT5" s="59"/>
      <c r="BU5" s="59"/>
      <c r="BV5" s="59"/>
      <c r="BW5" s="59"/>
      <c r="BX5" s="59"/>
      <c r="BY5" s="59"/>
      <c r="BZ5" s="59"/>
      <c r="CA5" s="59"/>
      <c r="CB5" s="59"/>
      <c r="CC5" s="59"/>
      <c r="CD5" s="59"/>
      <c r="CE5" s="59"/>
      <c r="CF5" s="59"/>
      <c r="CG5" s="59"/>
      <c r="CH5" s="59"/>
      <c r="CI5" s="59"/>
      <c r="CJ5" s="59"/>
      <c r="CK5" s="59"/>
      <c r="CL5" s="59"/>
      <c r="CM5" s="59"/>
      <c r="CN5" s="59"/>
      <c r="CO5" s="59"/>
      <c r="CP5" s="59"/>
      <c r="CQ5" s="59"/>
      <c r="CR5" s="59"/>
      <c r="CS5" s="59"/>
      <c r="CT5" s="59"/>
      <c r="CU5" s="59"/>
      <c r="CV5" s="59"/>
      <c r="CW5" s="59"/>
      <c r="CX5" s="59"/>
      <c r="CY5" s="59"/>
      <c r="CZ5" s="59"/>
      <c r="DA5" s="59"/>
      <c r="DB5" s="59"/>
      <c r="DC5" s="59"/>
      <c r="DD5" s="59"/>
      <c r="DE5" s="59"/>
      <c r="DF5" s="59"/>
      <c r="DG5" s="59"/>
      <c r="DH5" s="59"/>
      <c r="DI5" s="59"/>
      <c r="DJ5" s="59"/>
      <c r="DK5" s="59"/>
      <c r="DL5" s="59"/>
      <c r="DM5" s="59"/>
      <c r="DN5" s="59"/>
      <c r="DO5" s="59"/>
      <c r="DP5" s="59"/>
      <c r="DQ5" s="59"/>
      <c r="DR5" s="59"/>
      <c r="DS5" s="59"/>
      <c r="DT5" s="59"/>
      <c r="DU5" s="59"/>
      <c r="DV5" s="59"/>
      <c r="DW5" s="59"/>
      <c r="DX5" s="59"/>
      <c r="DY5" s="59"/>
      <c r="DZ5" s="59"/>
      <c r="EA5" s="59"/>
      <c r="EB5" s="59"/>
      <c r="EC5" s="59"/>
      <c r="ED5" s="59"/>
      <c r="EE5" s="59"/>
      <c r="EF5" s="59"/>
      <c r="EG5" s="59"/>
      <c r="EH5" s="59"/>
      <c r="EI5" s="59"/>
      <c r="EJ5" s="59"/>
      <c r="EK5" s="59"/>
      <c r="EL5" s="59"/>
      <c r="EM5" s="108"/>
      <c r="EN5" s="59"/>
      <c r="EO5" s="59"/>
      <c r="EP5" s="59"/>
      <c r="EQ5" s="59"/>
      <c r="ER5" s="59"/>
      <c r="ES5" s="59"/>
      <c r="ET5" s="59"/>
      <c r="EU5" s="59"/>
      <c r="EV5" s="59"/>
      <c r="EW5" s="59"/>
      <c r="EX5" s="59"/>
      <c r="EY5" s="59"/>
      <c r="EZ5" s="59"/>
      <c r="FA5" s="59"/>
      <c r="FB5" s="59"/>
      <c r="FC5" s="59"/>
      <c r="FD5" s="59"/>
      <c r="FE5" s="59"/>
      <c r="FF5" s="59"/>
      <c r="FG5" s="59"/>
      <c r="FH5" s="59"/>
      <c r="FI5" s="59"/>
      <c r="FJ5" s="59"/>
      <c r="FK5" s="59"/>
      <c r="FL5" s="59"/>
      <c r="FM5" s="59"/>
      <c r="FN5" s="59"/>
      <c r="FO5" s="59"/>
      <c r="FP5" s="59"/>
      <c r="FQ5" s="59"/>
      <c r="FR5" s="59"/>
    </row>
    <row r="6" spans="1:174" s="6" customFormat="1" x14ac:dyDescent="0.4">
      <c r="C6" s="6" t="s">
        <v>18</v>
      </c>
      <c r="E6" s="47"/>
      <c r="F6" s="47"/>
      <c r="G6" s="47"/>
      <c r="H6" s="47"/>
    </row>
    <row r="7" spans="1:174" x14ac:dyDescent="0.4">
      <c r="A7" s="7"/>
      <c r="B7" s="48">
        <v>1</v>
      </c>
      <c r="C7" s="48" t="s">
        <v>0</v>
      </c>
      <c r="D7" s="69" t="s">
        <v>1</v>
      </c>
      <c r="E7" s="69">
        <v>42381</v>
      </c>
      <c r="F7" s="70">
        <v>1</v>
      </c>
      <c r="G7" s="70">
        <v>1</v>
      </c>
      <c r="H7" s="69">
        <f>getEndDate()</f>
        <v>42381</v>
      </c>
      <c r="I7" s="87" t="s">
        <v>16</v>
      </c>
      <c r="J7" s="48"/>
      <c r="N7" s="8"/>
      <c r="O7" s="9"/>
      <c r="U7" s="8"/>
      <c r="V7" s="9"/>
      <c r="AB7" s="8"/>
      <c r="AC7" s="9"/>
      <c r="AI7" s="8"/>
      <c r="AJ7" s="9"/>
      <c r="AN7" s="9"/>
      <c r="AP7" s="8"/>
      <c r="AQ7" s="9"/>
      <c r="AW7" s="8"/>
      <c r="AX7" s="9"/>
    </row>
    <row r="8" spans="1:174" x14ac:dyDescent="0.4">
      <c r="A8" s="7"/>
      <c r="B8" s="49">
        <f>nextId(curtAddr())</f>
        <v>2</v>
      </c>
      <c r="C8" s="71" t="s">
        <v>73</v>
      </c>
      <c r="D8" s="49" t="s">
        <v>66</v>
      </c>
      <c r="E8" s="98">
        <f>getStartDate()</f>
        <v>42382</v>
      </c>
      <c r="F8" s="72">
        <v>1</v>
      </c>
      <c r="G8" s="72">
        <v>1</v>
      </c>
      <c r="H8" s="98">
        <f>getEndDate()</f>
        <v>42382</v>
      </c>
      <c r="I8" s="88" t="s">
        <v>21</v>
      </c>
      <c r="K8" s="49"/>
      <c r="N8" s="8"/>
      <c r="O8" s="9"/>
      <c r="U8" s="8"/>
      <c r="V8" s="9"/>
      <c r="AB8" s="8"/>
      <c r="AC8" s="9"/>
      <c r="AI8" s="8"/>
      <c r="AJ8" s="9"/>
      <c r="AN8" s="9"/>
      <c r="AP8" s="8"/>
      <c r="AQ8" s="9"/>
      <c r="AW8" s="8"/>
      <c r="AX8" s="9"/>
    </row>
    <row r="9" spans="1:174" x14ac:dyDescent="0.4">
      <c r="A9" s="7"/>
      <c r="B9" s="50">
        <f>nextId(curtAddr())</f>
        <v>3</v>
      </c>
      <c r="C9" s="50" t="s">
        <v>2</v>
      </c>
      <c r="D9" s="50" t="s">
        <v>3</v>
      </c>
      <c r="E9" s="99">
        <f t="shared" ref="E9:E38" si="0">getStartDate()</f>
        <v>42383</v>
      </c>
      <c r="F9" s="73">
        <v>1</v>
      </c>
      <c r="G9" s="73">
        <v>1</v>
      </c>
      <c r="H9" s="99">
        <f t="shared" ref="H9:H38" si="1">getEndDate()</f>
        <v>42383</v>
      </c>
      <c r="I9" s="89" t="s">
        <v>22</v>
      </c>
      <c r="L9" s="50"/>
      <c r="N9" s="8"/>
      <c r="O9" s="9"/>
      <c r="U9" s="8"/>
      <c r="V9" s="9"/>
      <c r="AB9" s="8"/>
      <c r="AC9" s="9"/>
      <c r="AI9" s="8"/>
      <c r="AJ9" s="9"/>
      <c r="AN9" s="9"/>
      <c r="AP9" s="8"/>
      <c r="AQ9" s="9"/>
      <c r="AW9" s="8"/>
      <c r="AX9" s="9"/>
    </row>
    <row r="10" spans="1:174" x14ac:dyDescent="0.4">
      <c r="A10" s="7"/>
      <c r="B10" s="51">
        <f>nextId(curtAddr())</f>
        <v>4</v>
      </c>
      <c r="C10" s="74" t="s">
        <v>4</v>
      </c>
      <c r="D10" s="51" t="s">
        <v>5</v>
      </c>
      <c r="E10" s="100">
        <f t="shared" si="0"/>
        <v>42384</v>
      </c>
      <c r="F10" s="75">
        <v>1</v>
      </c>
      <c r="G10" s="75">
        <v>1</v>
      </c>
      <c r="H10" s="100">
        <f>getEndDate()</f>
        <v>42384</v>
      </c>
      <c r="I10" s="90" t="s">
        <v>94</v>
      </c>
      <c r="M10" s="51"/>
      <c r="N10" s="8"/>
      <c r="O10" s="9"/>
      <c r="U10" s="8"/>
      <c r="V10" s="9"/>
      <c r="AB10" s="8"/>
      <c r="AC10" s="9"/>
      <c r="AI10" s="8"/>
      <c r="AJ10" s="9"/>
      <c r="AN10" s="9"/>
      <c r="AP10" s="8"/>
      <c r="AQ10" s="9"/>
      <c r="AW10" s="8"/>
      <c r="AX10" s="9"/>
    </row>
    <row r="11" spans="1:174" x14ac:dyDescent="0.4">
      <c r="A11" s="7"/>
      <c r="B11" s="45">
        <f>nextId(curtAddr())</f>
        <v>5</v>
      </c>
      <c r="C11" s="76" t="s">
        <v>6</v>
      </c>
      <c r="D11" s="45" t="s">
        <v>7</v>
      </c>
      <c r="E11" s="101">
        <f t="shared" si="0"/>
        <v>42387</v>
      </c>
      <c r="F11" s="77">
        <v>1</v>
      </c>
      <c r="G11" s="77">
        <v>1</v>
      </c>
      <c r="H11" s="101">
        <f t="shared" si="1"/>
        <v>42387</v>
      </c>
      <c r="I11" s="91" t="s">
        <v>23</v>
      </c>
      <c r="N11" s="8"/>
      <c r="O11" s="9"/>
      <c r="P11" s="45"/>
      <c r="U11" s="8"/>
      <c r="V11" s="9"/>
      <c r="AB11" s="8"/>
      <c r="AC11" s="9"/>
      <c r="AI11" s="8"/>
      <c r="AJ11" s="9"/>
      <c r="AN11" s="9"/>
      <c r="AP11" s="8"/>
      <c r="AQ11" s="9"/>
      <c r="AW11" s="8"/>
      <c r="AX11" s="9"/>
    </row>
    <row r="12" spans="1:174" x14ac:dyDescent="0.4">
      <c r="A12" s="7"/>
      <c r="B12" s="52">
        <f>nextId(curtAddr())</f>
        <v>6</v>
      </c>
      <c r="C12" s="78" t="s">
        <v>8</v>
      </c>
      <c r="D12" s="52" t="s">
        <v>9</v>
      </c>
      <c r="E12" s="97">
        <f t="shared" si="0"/>
        <v>42388</v>
      </c>
      <c r="F12" s="79">
        <v>1</v>
      </c>
      <c r="G12" s="79">
        <v>1</v>
      </c>
      <c r="H12" s="97">
        <f t="shared" si="1"/>
        <v>42388</v>
      </c>
      <c r="I12" s="92" t="s">
        <v>69</v>
      </c>
      <c r="N12" s="8"/>
      <c r="O12" s="9"/>
      <c r="Q12" s="52"/>
      <c r="U12" s="8"/>
      <c r="V12" s="9"/>
      <c r="AB12" s="8"/>
      <c r="AC12" s="9"/>
      <c r="AI12" s="8"/>
      <c r="AJ12" s="9"/>
      <c r="AN12" s="9"/>
      <c r="AP12" s="8"/>
      <c r="AQ12" s="9"/>
      <c r="AW12" s="8"/>
      <c r="AX12" s="9"/>
    </row>
    <row r="13" spans="1:174" x14ac:dyDescent="0.4">
      <c r="A13" s="7"/>
      <c r="B13" s="68">
        <f>nextId(curtAddr())</f>
        <v>7</v>
      </c>
      <c r="C13" s="80" t="s">
        <v>6</v>
      </c>
      <c r="D13" s="68" t="s">
        <v>10</v>
      </c>
      <c r="E13" s="102">
        <f t="shared" si="0"/>
        <v>42389</v>
      </c>
      <c r="F13" s="81">
        <v>1</v>
      </c>
      <c r="G13" s="81">
        <v>1</v>
      </c>
      <c r="H13" s="102">
        <f t="shared" si="1"/>
        <v>42389</v>
      </c>
      <c r="I13" s="93" t="s">
        <v>72</v>
      </c>
      <c r="N13" s="8"/>
      <c r="O13" s="9"/>
      <c r="R13" s="68"/>
      <c r="U13" s="8"/>
      <c r="V13" s="9"/>
      <c r="AB13" s="8"/>
      <c r="AC13" s="9"/>
      <c r="AI13" s="8"/>
      <c r="AJ13" s="9"/>
      <c r="AN13" s="9"/>
      <c r="AP13" s="8"/>
      <c r="AQ13" s="9"/>
      <c r="AW13" s="8"/>
      <c r="AX13" s="9"/>
    </row>
    <row r="14" spans="1:174" x14ac:dyDescent="0.4">
      <c r="A14" s="7"/>
      <c r="B14" s="53">
        <f>nextId(curtAddr())</f>
        <v>8</v>
      </c>
      <c r="C14" s="82" t="s">
        <v>8</v>
      </c>
      <c r="D14" s="53" t="s">
        <v>11</v>
      </c>
      <c r="E14" s="103">
        <f t="shared" si="0"/>
        <v>42390</v>
      </c>
      <c r="F14" s="83">
        <v>1</v>
      </c>
      <c r="G14" s="83">
        <v>1</v>
      </c>
      <c r="H14" s="103">
        <f t="shared" si="1"/>
        <v>42390</v>
      </c>
      <c r="I14" s="94" t="s">
        <v>17</v>
      </c>
      <c r="N14" s="8"/>
      <c r="O14" s="9"/>
      <c r="S14" s="53"/>
      <c r="U14" s="8"/>
      <c r="V14" s="9"/>
      <c r="AB14" s="8"/>
      <c r="AC14" s="9"/>
      <c r="AI14" s="8"/>
      <c r="AJ14" s="9"/>
      <c r="AN14" s="9"/>
      <c r="AP14" s="8"/>
      <c r="AQ14" s="9"/>
      <c r="AW14" s="8"/>
      <c r="AX14" s="9"/>
    </row>
    <row r="15" spans="1:174" x14ac:dyDescent="0.4">
      <c r="A15" s="7"/>
      <c r="B15" s="54">
        <f>nextId(curtAddr())</f>
        <v>9</v>
      </c>
      <c r="C15" s="84" t="s">
        <v>12</v>
      </c>
      <c r="D15" s="54" t="s">
        <v>13</v>
      </c>
      <c r="E15" s="104">
        <f t="shared" si="0"/>
        <v>42391</v>
      </c>
      <c r="F15" s="85">
        <v>1</v>
      </c>
      <c r="G15" s="85">
        <v>1</v>
      </c>
      <c r="H15" s="104">
        <f t="shared" si="1"/>
        <v>42391</v>
      </c>
      <c r="I15" s="95" t="s">
        <v>70</v>
      </c>
      <c r="N15" s="8"/>
      <c r="O15" s="9"/>
      <c r="T15" s="54"/>
      <c r="U15" s="8"/>
      <c r="V15" s="9"/>
      <c r="AB15" s="8"/>
      <c r="AC15" s="9"/>
      <c r="AI15" s="8"/>
      <c r="AJ15" s="9"/>
      <c r="AN15" s="9"/>
      <c r="AP15" s="8"/>
      <c r="AQ15" s="9"/>
      <c r="AW15" s="8"/>
      <c r="AX15" s="9"/>
    </row>
    <row r="16" spans="1:174" x14ac:dyDescent="0.4">
      <c r="A16" s="7"/>
      <c r="B16" s="55">
        <f>nextId(curtAddr())</f>
        <v>10</v>
      </c>
      <c r="C16" s="55" t="s">
        <v>14</v>
      </c>
      <c r="D16" s="55" t="s">
        <v>15</v>
      </c>
      <c r="E16" s="105">
        <f t="shared" si="0"/>
        <v>42394</v>
      </c>
      <c r="F16" s="86">
        <v>1</v>
      </c>
      <c r="G16" s="86">
        <v>1</v>
      </c>
      <c r="H16" s="105">
        <f t="shared" si="1"/>
        <v>42394</v>
      </c>
      <c r="I16" s="96" t="s">
        <v>67</v>
      </c>
      <c r="N16" s="8"/>
      <c r="O16" s="9"/>
      <c r="U16" s="8"/>
      <c r="V16" s="9"/>
      <c r="W16" s="55"/>
      <c r="AB16" s="8"/>
      <c r="AC16" s="9"/>
      <c r="AI16" s="8"/>
      <c r="AJ16" s="9"/>
      <c r="AN16" s="9"/>
      <c r="AP16" s="8"/>
      <c r="AQ16" s="9"/>
      <c r="AW16" s="8"/>
      <c r="AX16" s="9"/>
    </row>
    <row r="17" spans="1:50" s="6" customFormat="1" x14ac:dyDescent="0.4">
      <c r="C17" s="6" t="s">
        <v>18</v>
      </c>
      <c r="E17" s="47"/>
      <c r="F17" s="47"/>
      <c r="G17" s="47"/>
      <c r="H17" s="47"/>
    </row>
    <row r="18" spans="1:50" x14ac:dyDescent="0.4">
      <c r="A18" s="7"/>
      <c r="B18" s="48">
        <f>nextId(curtAddr())</f>
        <v>11</v>
      </c>
      <c r="C18" s="48" t="s">
        <v>0</v>
      </c>
      <c r="D18" s="48" t="s">
        <v>1</v>
      </c>
      <c r="E18" s="69">
        <f t="shared" si="0"/>
        <v>42395</v>
      </c>
      <c r="F18" s="70">
        <v>1</v>
      </c>
      <c r="G18" s="70">
        <v>1</v>
      </c>
      <c r="H18" s="69">
        <f t="shared" si="1"/>
        <v>42395</v>
      </c>
      <c r="I18" s="87" t="s">
        <v>16</v>
      </c>
      <c r="N18" s="8"/>
      <c r="O18" s="9"/>
      <c r="U18" s="8"/>
      <c r="V18" s="9"/>
      <c r="X18" s="48"/>
      <c r="AB18" s="8"/>
      <c r="AC18" s="9"/>
      <c r="AI18" s="8"/>
      <c r="AJ18" s="9"/>
      <c r="AN18" s="9"/>
      <c r="AP18" s="8"/>
      <c r="AQ18" s="9"/>
      <c r="AW18" s="8"/>
      <c r="AX18" s="9"/>
    </row>
    <row r="19" spans="1:50" x14ac:dyDescent="0.4">
      <c r="A19" s="7"/>
      <c r="B19" s="49">
        <f>nextId(curtAddr())</f>
        <v>12</v>
      </c>
      <c r="C19" s="71" t="s">
        <v>73</v>
      </c>
      <c r="D19" s="49" t="s">
        <v>66</v>
      </c>
      <c r="E19" s="98">
        <f t="shared" si="0"/>
        <v>42396</v>
      </c>
      <c r="F19" s="72">
        <v>1</v>
      </c>
      <c r="G19" s="72">
        <v>1</v>
      </c>
      <c r="H19" s="98">
        <f t="shared" si="1"/>
        <v>42396</v>
      </c>
      <c r="I19" s="88" t="s">
        <v>21</v>
      </c>
      <c r="N19" s="8"/>
      <c r="O19" s="9"/>
      <c r="U19" s="8"/>
      <c r="V19" s="9"/>
      <c r="Y19" s="49"/>
      <c r="AB19" s="8"/>
      <c r="AC19" s="9"/>
      <c r="AI19" s="8"/>
      <c r="AJ19" s="9"/>
      <c r="AN19" s="9"/>
      <c r="AP19" s="8"/>
      <c r="AQ19" s="9"/>
      <c r="AW19" s="8"/>
      <c r="AX19" s="9"/>
    </row>
    <row r="20" spans="1:50" x14ac:dyDescent="0.4">
      <c r="A20" s="7"/>
      <c r="B20" s="50">
        <f>nextId(curtAddr())</f>
        <v>13</v>
      </c>
      <c r="C20" s="50" t="s">
        <v>2</v>
      </c>
      <c r="D20" s="50" t="s">
        <v>3</v>
      </c>
      <c r="E20" s="99">
        <f t="shared" si="0"/>
        <v>42397</v>
      </c>
      <c r="F20" s="73">
        <v>1</v>
      </c>
      <c r="G20" s="73">
        <v>1</v>
      </c>
      <c r="H20" s="99">
        <f t="shared" si="1"/>
        <v>42397</v>
      </c>
      <c r="I20" s="89" t="s">
        <v>22</v>
      </c>
      <c r="N20" s="8"/>
      <c r="O20" s="9"/>
      <c r="U20" s="8"/>
      <c r="V20" s="9"/>
      <c r="Z20" s="50"/>
      <c r="AB20" s="8"/>
      <c r="AC20" s="9"/>
      <c r="AI20" s="8"/>
      <c r="AJ20" s="9"/>
      <c r="AN20" s="9"/>
      <c r="AP20" s="8"/>
      <c r="AQ20" s="9"/>
      <c r="AW20" s="8"/>
      <c r="AX20" s="9"/>
    </row>
    <row r="21" spans="1:50" x14ac:dyDescent="0.4">
      <c r="A21" s="7"/>
      <c r="B21" s="51">
        <f>nextId(curtAddr())</f>
        <v>14</v>
      </c>
      <c r="C21" s="74" t="s">
        <v>4</v>
      </c>
      <c r="D21" s="51" t="s">
        <v>5</v>
      </c>
      <c r="E21" s="100">
        <f t="shared" si="0"/>
        <v>42398</v>
      </c>
      <c r="F21" s="75">
        <v>1</v>
      </c>
      <c r="G21" s="75">
        <v>1</v>
      </c>
      <c r="H21" s="100">
        <f t="shared" si="1"/>
        <v>42398</v>
      </c>
      <c r="I21" s="90" t="s">
        <v>94</v>
      </c>
      <c r="N21" s="8"/>
      <c r="O21" s="9"/>
      <c r="U21" s="8"/>
      <c r="V21" s="9"/>
      <c r="AA21" s="51"/>
      <c r="AB21" s="8"/>
      <c r="AC21" s="9"/>
      <c r="AI21" s="8"/>
      <c r="AJ21" s="9"/>
      <c r="AN21" s="9"/>
      <c r="AP21" s="8"/>
      <c r="AQ21" s="9"/>
      <c r="AW21" s="8"/>
      <c r="AX21" s="9"/>
    </row>
    <row r="22" spans="1:50" x14ac:dyDescent="0.4">
      <c r="A22" s="7"/>
      <c r="B22" s="45">
        <f>nextId(curtAddr())</f>
        <v>15</v>
      </c>
      <c r="C22" s="76" t="s">
        <v>6</v>
      </c>
      <c r="D22" s="45" t="s">
        <v>7</v>
      </c>
      <c r="E22" s="101">
        <f t="shared" si="0"/>
        <v>42401</v>
      </c>
      <c r="F22" s="77">
        <v>1</v>
      </c>
      <c r="G22" s="77">
        <v>1</v>
      </c>
      <c r="H22" s="101">
        <f t="shared" si="1"/>
        <v>42401</v>
      </c>
      <c r="I22" s="91" t="s">
        <v>23</v>
      </c>
      <c r="N22" s="8"/>
      <c r="O22" s="9"/>
      <c r="U22" s="8"/>
      <c r="V22" s="9"/>
      <c r="AB22" s="8"/>
      <c r="AC22" s="9"/>
      <c r="AD22" s="45"/>
      <c r="AI22" s="8"/>
      <c r="AJ22" s="9"/>
      <c r="AN22" s="9"/>
      <c r="AP22" s="8"/>
      <c r="AQ22" s="9"/>
      <c r="AW22" s="8"/>
      <c r="AX22" s="9"/>
    </row>
    <row r="23" spans="1:50" x14ac:dyDescent="0.4">
      <c r="A23" s="7"/>
      <c r="B23" s="52">
        <f>nextId(curtAddr())</f>
        <v>16</v>
      </c>
      <c r="C23" s="78" t="s">
        <v>8</v>
      </c>
      <c r="D23" s="52" t="s">
        <v>9</v>
      </c>
      <c r="E23" s="97">
        <f t="shared" si="0"/>
        <v>42402</v>
      </c>
      <c r="F23" s="79">
        <v>1</v>
      </c>
      <c r="G23" s="79">
        <v>1</v>
      </c>
      <c r="H23" s="97">
        <f>getEndDate()</f>
        <v>42402</v>
      </c>
      <c r="I23" s="92" t="s">
        <v>69</v>
      </c>
      <c r="N23" s="8"/>
      <c r="O23" s="9"/>
      <c r="U23" s="8"/>
      <c r="V23" s="9"/>
      <c r="AB23" s="8"/>
      <c r="AC23" s="9"/>
      <c r="AE23" s="52"/>
      <c r="AI23" s="8"/>
      <c r="AJ23" s="9"/>
      <c r="AN23" s="9"/>
      <c r="AP23" s="8"/>
      <c r="AQ23" s="9"/>
      <c r="AW23" s="8"/>
      <c r="AX23" s="9"/>
    </row>
    <row r="24" spans="1:50" x14ac:dyDescent="0.4">
      <c r="A24" s="7"/>
      <c r="B24" s="68">
        <f>nextId(curtAddr())</f>
        <v>17</v>
      </c>
      <c r="C24" s="80" t="s">
        <v>6</v>
      </c>
      <c r="D24" s="68" t="s">
        <v>10</v>
      </c>
      <c r="E24" s="102">
        <f>getStartDate()</f>
        <v>42403</v>
      </c>
      <c r="F24" s="81">
        <v>1</v>
      </c>
      <c r="G24" s="81">
        <v>1</v>
      </c>
      <c r="H24" s="102">
        <f t="shared" si="1"/>
        <v>42403</v>
      </c>
      <c r="I24" s="93" t="s">
        <v>72</v>
      </c>
      <c r="N24" s="8"/>
      <c r="O24" s="9"/>
      <c r="U24" s="8"/>
      <c r="V24" s="9"/>
      <c r="AB24" s="8"/>
      <c r="AC24" s="9"/>
      <c r="AF24" s="68"/>
      <c r="AI24" s="8"/>
      <c r="AJ24" s="9"/>
      <c r="AN24" s="9"/>
      <c r="AP24" s="8"/>
      <c r="AQ24" s="9"/>
      <c r="AW24" s="8"/>
      <c r="AX24" s="9"/>
    </row>
    <row r="25" spans="1:50" x14ac:dyDescent="0.4">
      <c r="A25" s="7"/>
      <c r="B25" s="53">
        <f>nextId(curtAddr())</f>
        <v>18</v>
      </c>
      <c r="C25" s="82" t="s">
        <v>8</v>
      </c>
      <c r="D25" s="53" t="s">
        <v>11</v>
      </c>
      <c r="E25" s="103">
        <f t="shared" si="0"/>
        <v>42404</v>
      </c>
      <c r="F25" s="83">
        <v>1</v>
      </c>
      <c r="G25" s="83">
        <v>1</v>
      </c>
      <c r="H25" s="103">
        <f t="shared" si="1"/>
        <v>42404</v>
      </c>
      <c r="I25" s="94" t="s">
        <v>17</v>
      </c>
      <c r="N25" s="8"/>
      <c r="O25" s="9"/>
      <c r="U25" s="8"/>
      <c r="V25" s="9"/>
      <c r="AB25" s="8"/>
      <c r="AC25" s="9"/>
      <c r="AG25" s="53"/>
      <c r="AI25" s="8"/>
      <c r="AJ25" s="9"/>
      <c r="AN25" s="9"/>
      <c r="AP25" s="8"/>
      <c r="AQ25" s="9"/>
      <c r="AW25" s="8"/>
      <c r="AX25" s="9"/>
    </row>
    <row r="26" spans="1:50" x14ac:dyDescent="0.4">
      <c r="A26" s="7"/>
      <c r="B26" s="54">
        <f>nextId(curtAddr())</f>
        <v>19</v>
      </c>
      <c r="C26" s="84" t="s">
        <v>12</v>
      </c>
      <c r="D26" s="54" t="s">
        <v>13</v>
      </c>
      <c r="E26" s="104">
        <f t="shared" si="0"/>
        <v>42405</v>
      </c>
      <c r="F26" s="85">
        <v>1</v>
      </c>
      <c r="G26" s="85">
        <v>1</v>
      </c>
      <c r="H26" s="104">
        <f t="shared" si="1"/>
        <v>42405</v>
      </c>
      <c r="I26" s="95" t="s">
        <v>70</v>
      </c>
      <c r="N26" s="8"/>
      <c r="O26" s="9"/>
      <c r="U26" s="8"/>
      <c r="V26" s="9"/>
      <c r="AB26" s="8"/>
      <c r="AC26" s="9"/>
      <c r="AH26" s="54"/>
      <c r="AI26" s="8"/>
      <c r="AJ26" s="9"/>
      <c r="AN26" s="9"/>
      <c r="AP26" s="8"/>
      <c r="AQ26" s="9"/>
      <c r="AW26" s="8"/>
      <c r="AX26" s="9"/>
    </row>
    <row r="27" spans="1:50" x14ac:dyDescent="0.4">
      <c r="A27" s="7"/>
      <c r="B27" s="55">
        <f>nextId(curtAddr())</f>
        <v>20</v>
      </c>
      <c r="C27" s="55" t="s">
        <v>14</v>
      </c>
      <c r="D27" s="55" t="s">
        <v>15</v>
      </c>
      <c r="E27" s="105">
        <f t="shared" si="0"/>
        <v>42408</v>
      </c>
      <c r="F27" s="86">
        <v>1</v>
      </c>
      <c r="G27" s="86">
        <v>1</v>
      </c>
      <c r="H27" s="105">
        <f t="shared" si="1"/>
        <v>42408</v>
      </c>
      <c r="I27" s="96" t="s">
        <v>67</v>
      </c>
      <c r="N27" s="8"/>
      <c r="O27" s="9"/>
      <c r="U27" s="8"/>
      <c r="V27" s="9"/>
      <c r="AB27" s="8"/>
      <c r="AC27" s="9"/>
      <c r="AI27" s="8"/>
      <c r="AJ27" s="9"/>
      <c r="AK27" s="55"/>
      <c r="AN27" s="9"/>
      <c r="AP27" s="8"/>
      <c r="AQ27" s="9"/>
      <c r="AW27" s="8"/>
      <c r="AX27" s="9"/>
    </row>
    <row r="28" spans="1:50" s="56" customFormat="1" x14ac:dyDescent="0.4">
      <c r="A28" s="6"/>
      <c r="B28" s="6"/>
      <c r="C28" s="6" t="s">
        <v>18</v>
      </c>
      <c r="D28" s="6"/>
      <c r="E28" s="47"/>
      <c r="F28" s="47"/>
      <c r="G28" s="47"/>
      <c r="H28" s="47"/>
      <c r="I28" s="6"/>
    </row>
    <row r="29" spans="1:50" x14ac:dyDescent="0.4">
      <c r="A29" s="7"/>
      <c r="B29" s="48">
        <f>nextId(curtAddr())</f>
        <v>21</v>
      </c>
      <c r="C29" s="48" t="s">
        <v>0</v>
      </c>
      <c r="D29" s="48" t="s">
        <v>1</v>
      </c>
      <c r="E29" s="69">
        <f t="shared" si="0"/>
        <v>42409</v>
      </c>
      <c r="F29" s="70">
        <v>1</v>
      </c>
      <c r="G29" s="70">
        <v>1</v>
      </c>
      <c r="H29" s="69">
        <f t="shared" si="1"/>
        <v>42409</v>
      </c>
      <c r="I29" s="87" t="s">
        <v>16</v>
      </c>
      <c r="N29" s="8"/>
      <c r="O29" s="9"/>
      <c r="U29" s="8"/>
      <c r="V29" s="9"/>
      <c r="AB29" s="8"/>
      <c r="AC29" s="9"/>
      <c r="AI29" s="8"/>
      <c r="AJ29" s="9"/>
      <c r="AL29" s="48"/>
      <c r="AN29" s="9"/>
      <c r="AP29" s="8"/>
      <c r="AQ29" s="9"/>
      <c r="AW29" s="8"/>
      <c r="AX29" s="9"/>
    </row>
    <row r="30" spans="1:50" x14ac:dyDescent="0.4">
      <c r="A30" s="7"/>
      <c r="B30" s="49">
        <f>nextId(curtAddr())</f>
        <v>22</v>
      </c>
      <c r="C30" s="71" t="s">
        <v>73</v>
      </c>
      <c r="D30" s="49" t="s">
        <v>66</v>
      </c>
      <c r="E30" s="98">
        <f t="shared" si="0"/>
        <v>42410</v>
      </c>
      <c r="F30" s="72">
        <v>1</v>
      </c>
      <c r="G30" s="72">
        <v>1</v>
      </c>
      <c r="H30" s="98">
        <f t="shared" si="1"/>
        <v>42410</v>
      </c>
      <c r="I30" s="88" t="s">
        <v>21</v>
      </c>
      <c r="N30" s="8"/>
      <c r="O30" s="9"/>
      <c r="U30" s="8"/>
      <c r="V30" s="9"/>
      <c r="AB30" s="8"/>
      <c r="AC30" s="9"/>
      <c r="AI30" s="8"/>
      <c r="AJ30" s="9"/>
      <c r="AM30" s="49"/>
      <c r="AN30" s="9"/>
      <c r="AP30" s="8"/>
      <c r="AQ30" s="9"/>
      <c r="AW30" s="8"/>
      <c r="AX30" s="9"/>
    </row>
    <row r="31" spans="1:50" x14ac:dyDescent="0.4">
      <c r="A31" s="7"/>
      <c r="B31" s="50">
        <f>nextId(curtAddr())</f>
        <v>23</v>
      </c>
      <c r="C31" s="50" t="s">
        <v>2</v>
      </c>
      <c r="D31" s="50" t="s">
        <v>3</v>
      </c>
      <c r="E31" s="99">
        <f t="shared" si="0"/>
        <v>42412</v>
      </c>
      <c r="F31" s="73">
        <v>1</v>
      </c>
      <c r="G31" s="73">
        <v>1</v>
      </c>
      <c r="H31" s="99">
        <f t="shared" si="1"/>
        <v>42412</v>
      </c>
      <c r="I31" s="89" t="s">
        <v>22</v>
      </c>
      <c r="N31" s="8"/>
      <c r="O31" s="9"/>
      <c r="U31" s="8"/>
      <c r="V31" s="9"/>
      <c r="AB31" s="8"/>
      <c r="AC31" s="9"/>
      <c r="AI31" s="8"/>
      <c r="AJ31" s="9"/>
      <c r="AN31" s="9"/>
      <c r="AO31" s="50"/>
      <c r="AP31" s="8"/>
      <c r="AQ31" s="9"/>
      <c r="AW31" s="8"/>
      <c r="AX31" s="9"/>
    </row>
    <row r="32" spans="1:50" x14ac:dyDescent="0.4">
      <c r="A32" s="7"/>
      <c r="B32" s="51">
        <f>nextId(curtAddr())</f>
        <v>24</v>
      </c>
      <c r="C32" s="74" t="s">
        <v>4</v>
      </c>
      <c r="D32" s="51" t="s">
        <v>5</v>
      </c>
      <c r="E32" s="100">
        <f t="shared" si="0"/>
        <v>42415</v>
      </c>
      <c r="F32" s="75">
        <v>1</v>
      </c>
      <c r="G32" s="75">
        <v>1</v>
      </c>
      <c r="H32" s="100">
        <f t="shared" si="1"/>
        <v>42415</v>
      </c>
      <c r="I32" s="90" t="s">
        <v>94</v>
      </c>
      <c r="N32" s="8"/>
      <c r="O32" s="9"/>
      <c r="U32" s="8"/>
      <c r="V32" s="9"/>
      <c r="AB32" s="8"/>
      <c r="AC32" s="9"/>
      <c r="AI32" s="8"/>
      <c r="AJ32" s="9"/>
      <c r="AN32" s="9"/>
      <c r="AP32" s="8"/>
      <c r="AQ32" s="9"/>
      <c r="AR32" s="51"/>
      <c r="AW32" s="8"/>
      <c r="AX32" s="9"/>
    </row>
    <row r="33" spans="1:52" x14ac:dyDescent="0.4">
      <c r="A33" s="7"/>
      <c r="B33" s="45">
        <f>nextId(curtAddr())</f>
        <v>25</v>
      </c>
      <c r="C33" s="76" t="s">
        <v>6</v>
      </c>
      <c r="D33" s="45" t="s">
        <v>7</v>
      </c>
      <c r="E33" s="101">
        <f t="shared" si="0"/>
        <v>42416</v>
      </c>
      <c r="F33" s="77">
        <v>1</v>
      </c>
      <c r="G33" s="77">
        <v>1</v>
      </c>
      <c r="H33" s="101">
        <f t="shared" si="1"/>
        <v>42416</v>
      </c>
      <c r="I33" s="91" t="s">
        <v>23</v>
      </c>
      <c r="N33" s="8"/>
      <c r="O33" s="9"/>
      <c r="U33" s="8"/>
      <c r="V33" s="9"/>
      <c r="AB33" s="8"/>
      <c r="AC33" s="9"/>
      <c r="AI33" s="8"/>
      <c r="AJ33" s="9"/>
      <c r="AN33" s="9"/>
      <c r="AP33" s="8"/>
      <c r="AQ33" s="9"/>
      <c r="AS33" s="45"/>
      <c r="AW33" s="8"/>
      <c r="AX33" s="9"/>
    </row>
    <row r="34" spans="1:52" x14ac:dyDescent="0.4">
      <c r="A34" s="7"/>
      <c r="B34" s="52">
        <f>nextId(curtAddr())</f>
        <v>26</v>
      </c>
      <c r="C34" s="78" t="s">
        <v>8</v>
      </c>
      <c r="D34" s="52" t="s">
        <v>9</v>
      </c>
      <c r="E34" s="97">
        <f t="shared" si="0"/>
        <v>42417</v>
      </c>
      <c r="F34" s="79">
        <v>1</v>
      </c>
      <c r="G34" s="79">
        <v>1</v>
      </c>
      <c r="H34" s="97">
        <f t="shared" si="1"/>
        <v>42417</v>
      </c>
      <c r="I34" s="92" t="s">
        <v>69</v>
      </c>
      <c r="N34" s="8"/>
      <c r="O34" s="9"/>
      <c r="U34" s="8"/>
      <c r="V34" s="9"/>
      <c r="AB34" s="8"/>
      <c r="AC34" s="9"/>
      <c r="AI34" s="8"/>
      <c r="AJ34" s="9"/>
      <c r="AN34" s="9"/>
      <c r="AP34" s="8"/>
      <c r="AQ34" s="9"/>
      <c r="AT34" s="52"/>
      <c r="AW34" s="8"/>
      <c r="AX34" s="9"/>
    </row>
    <row r="35" spans="1:52" x14ac:dyDescent="0.4">
      <c r="A35" s="7"/>
      <c r="B35" s="68">
        <f>nextId(curtAddr())</f>
        <v>27</v>
      </c>
      <c r="C35" s="80" t="s">
        <v>6</v>
      </c>
      <c r="D35" s="68" t="s">
        <v>10</v>
      </c>
      <c r="E35" s="102">
        <f t="shared" si="0"/>
        <v>42418</v>
      </c>
      <c r="F35" s="81">
        <v>1</v>
      </c>
      <c r="G35" s="81">
        <v>1</v>
      </c>
      <c r="H35" s="102">
        <f t="shared" si="1"/>
        <v>42418</v>
      </c>
      <c r="I35" s="93" t="s">
        <v>72</v>
      </c>
      <c r="N35" s="8"/>
      <c r="O35" s="9"/>
      <c r="U35" s="8"/>
      <c r="V35" s="9"/>
      <c r="AB35" s="8"/>
      <c r="AC35" s="9"/>
      <c r="AI35" s="8"/>
      <c r="AJ35" s="9"/>
      <c r="AN35" s="9"/>
      <c r="AP35" s="8"/>
      <c r="AQ35" s="9"/>
      <c r="AU35" s="68"/>
      <c r="AW35" s="8"/>
      <c r="AX35" s="9"/>
    </row>
    <row r="36" spans="1:52" x14ac:dyDescent="0.4">
      <c r="A36" s="7"/>
      <c r="B36" s="53">
        <f>nextId(curtAddr())</f>
        <v>28</v>
      </c>
      <c r="C36" s="82" t="s">
        <v>8</v>
      </c>
      <c r="D36" s="53" t="s">
        <v>11</v>
      </c>
      <c r="E36" s="103">
        <f t="shared" si="0"/>
        <v>42419</v>
      </c>
      <c r="F36" s="83">
        <v>1</v>
      </c>
      <c r="G36" s="83">
        <v>1</v>
      </c>
      <c r="H36" s="103">
        <f t="shared" si="1"/>
        <v>42419</v>
      </c>
      <c r="I36" s="94" t="s">
        <v>17</v>
      </c>
      <c r="N36" s="8"/>
      <c r="O36" s="9"/>
      <c r="U36" s="8"/>
      <c r="V36" s="9"/>
      <c r="AB36" s="8"/>
      <c r="AC36" s="9"/>
      <c r="AI36" s="8"/>
      <c r="AJ36" s="9"/>
      <c r="AN36" s="9"/>
      <c r="AP36" s="8"/>
      <c r="AQ36" s="9"/>
      <c r="AV36" s="53"/>
      <c r="AW36" s="8"/>
      <c r="AX36" s="9"/>
    </row>
    <row r="37" spans="1:52" x14ac:dyDescent="0.4">
      <c r="A37" s="7"/>
      <c r="B37" s="54">
        <f>nextId(curtAddr())</f>
        <v>29</v>
      </c>
      <c r="C37" s="84" t="s">
        <v>12</v>
      </c>
      <c r="D37" s="54" t="s">
        <v>13</v>
      </c>
      <c r="E37" s="104">
        <f t="shared" si="0"/>
        <v>42422</v>
      </c>
      <c r="F37" s="85">
        <v>1</v>
      </c>
      <c r="G37" s="85">
        <v>1</v>
      </c>
      <c r="H37" s="104">
        <f t="shared" si="1"/>
        <v>42422</v>
      </c>
      <c r="I37" s="95" t="s">
        <v>70</v>
      </c>
      <c r="N37" s="8"/>
      <c r="O37" s="9"/>
      <c r="U37" s="8"/>
      <c r="V37" s="9"/>
      <c r="AB37" s="8"/>
      <c r="AC37" s="9"/>
      <c r="AI37" s="8"/>
      <c r="AJ37" s="9"/>
      <c r="AN37" s="9"/>
      <c r="AP37" s="8"/>
      <c r="AQ37" s="9"/>
      <c r="AW37" s="8"/>
      <c r="AX37" s="9"/>
      <c r="AY37" s="54"/>
    </row>
    <row r="38" spans="1:52" x14ac:dyDescent="0.4">
      <c r="A38" s="7"/>
      <c r="B38" s="55">
        <f>nextId(curtAddr())</f>
        <v>30</v>
      </c>
      <c r="C38" s="55" t="s">
        <v>14</v>
      </c>
      <c r="D38" s="55" t="s">
        <v>15</v>
      </c>
      <c r="E38" s="105">
        <f t="shared" si="0"/>
        <v>42423</v>
      </c>
      <c r="F38" s="86">
        <v>1</v>
      </c>
      <c r="G38" s="86">
        <v>1</v>
      </c>
      <c r="H38" s="105">
        <f t="shared" si="1"/>
        <v>42423</v>
      </c>
      <c r="I38" s="96" t="s">
        <v>67</v>
      </c>
      <c r="N38" s="8"/>
      <c r="O38" s="9"/>
      <c r="U38" s="8"/>
      <c r="V38" s="9"/>
      <c r="AB38" s="8"/>
      <c r="AC38" s="9"/>
      <c r="AI38" s="8"/>
      <c r="AJ38" s="9"/>
      <c r="AN38" s="9"/>
      <c r="AP38" s="8"/>
      <c r="AQ38" s="9"/>
      <c r="AW38" s="8"/>
      <c r="AX38" s="9"/>
      <c r="AZ38" s="55"/>
    </row>
  </sheetData>
  <phoneticPr fontId="1"/>
  <conditionalFormatting sqref="N1:P1 R1:T1 V1:X1 A1:I2 J1:L1 AB1:XFD2 Z1 A3:XFD1048576">
    <cfRule type="cellIs" dxfId="41" priority="22" operator="equal">
      <formula>INDIRECT(CONCATENATE("status!","$B","$12"))</formula>
    </cfRule>
    <cfRule type="cellIs" dxfId="40" priority="23" operator="equal">
      <formula>INDIRECT(CONCATENATE("status!","$B","$11"))</formula>
    </cfRule>
    <cfRule type="cellIs" dxfId="39" priority="24" operator="equal">
      <formula>INDIRECT(CONCATENATE("status!","$B","$10"))</formula>
    </cfRule>
    <cfRule type="cellIs" dxfId="38" priority="25" operator="equal">
      <formula>INDIRECT(CONCATENATE("status!","$B","$9"))</formula>
    </cfRule>
    <cfRule type="cellIs" dxfId="37" priority="26" operator="equal">
      <formula>INDIRECT(CONCATENATE("status!","$B","$8"))</formula>
    </cfRule>
    <cfRule type="cellIs" dxfId="36" priority="27" operator="equal">
      <formula>INDIRECT(CONCATENATE("status!","$B","$7"))</formula>
    </cfRule>
    <cfRule type="cellIs" dxfId="35" priority="28" operator="equal">
      <formula>INDIRECT(CONCATENATE("status!","$B","$6"))</formula>
    </cfRule>
    <cfRule type="cellIs" dxfId="34" priority="29" operator="equal">
      <formula>INDIRECT(CONCATENATE("status!","$B","$5"))</formula>
    </cfRule>
    <cfRule type="cellIs" dxfId="33" priority="30" operator="equal">
      <formula>INDIRECT(CONCATENATE("status!","$B","$4"))</formula>
    </cfRule>
    <cfRule type="cellIs" dxfId="32" priority="31" operator="equal">
      <formula>INDIRECT(CONCATENATE("status!","$B","$3"))</formula>
    </cfRule>
    <cfRule type="cellIs" dxfId="31" priority="32" operator="equal">
      <formula>INDIRECT(CONCATENATE("status!","$B","$2"))</formula>
    </cfRule>
    <cfRule type="cellIs" dxfId="30" priority="33" operator="equal">
      <formula>INDIRECT(CONCATENATE("member!","$B","$11"))</formula>
    </cfRule>
    <cfRule type="cellIs" dxfId="29" priority="34" operator="equal">
      <formula>INDIRECT(CONCATENATE("member!","$B","$10"))</formula>
    </cfRule>
    <cfRule type="cellIs" dxfId="28" priority="35" operator="equal">
      <formula>INDIRECT(CONCATENATE("member!","$B","$9"))</formula>
    </cfRule>
    <cfRule type="cellIs" dxfId="27" priority="36" operator="equal">
      <formula>INDIRECT(CONCATENATE("member!","$B","$8"))</formula>
    </cfRule>
    <cfRule type="cellIs" dxfId="26" priority="37" operator="equal">
      <formula>INDIRECT(CONCATENATE("member!","$B","$7"))</formula>
    </cfRule>
    <cfRule type="cellIs" dxfId="25" priority="38" operator="equal">
      <formula>INDIRECT(CONCATENATE("member!","$B","$6"))</formula>
    </cfRule>
    <cfRule type="cellIs" dxfId="24" priority="39" operator="equal">
      <formula>INDIRECT(CONCATENATE("member!","$B","$5"))</formula>
    </cfRule>
    <cfRule type="cellIs" dxfId="23" priority="40" operator="equal">
      <formula>INDIRECT(CONCATENATE("member!","$B","$4"))</formula>
    </cfRule>
    <cfRule type="cellIs" dxfId="22" priority="41" operator="equal">
      <formula>INDIRECT(CONCATENATE("member!","$B","$3"))</formula>
    </cfRule>
    <cfRule type="cellIs" dxfId="21" priority="42" operator="equal">
      <formula>INDIRECT(CONCATENATE("member!","$B","$2"))</formula>
    </cfRule>
  </conditionalFormatting>
  <conditionalFormatting sqref="J2:L2 N2:P2 R2:T2 V2:X2 Z2">
    <cfRule type="cellIs" dxfId="20" priority="1" operator="equal">
      <formula>INDIRECT(CONCATENATE("status!","$B","$12"))</formula>
    </cfRule>
    <cfRule type="cellIs" dxfId="19" priority="2" operator="equal">
      <formula>INDIRECT(CONCATENATE("status!","$B","$11"))</formula>
    </cfRule>
    <cfRule type="cellIs" dxfId="18" priority="3" operator="equal">
      <formula>INDIRECT(CONCATENATE("status!","$B","$10"))</formula>
    </cfRule>
    <cfRule type="cellIs" dxfId="17" priority="4" operator="equal">
      <formula>INDIRECT(CONCATENATE("status!","$B","$9"))</formula>
    </cfRule>
    <cfRule type="cellIs" dxfId="16" priority="5" operator="equal">
      <formula>INDIRECT(CONCATENATE("status!","$B","$8"))</formula>
    </cfRule>
    <cfRule type="cellIs" dxfId="15" priority="6" operator="equal">
      <formula>INDIRECT(CONCATENATE("status!","$B","$7"))</formula>
    </cfRule>
    <cfRule type="cellIs" dxfId="14" priority="7" operator="equal">
      <formula>INDIRECT(CONCATENATE("status!","$B","$6"))</formula>
    </cfRule>
    <cfRule type="cellIs" dxfId="13" priority="8" operator="equal">
      <formula>INDIRECT(CONCATENATE("status!","$B","$5"))</formula>
    </cfRule>
    <cfRule type="cellIs" dxfId="12" priority="9" operator="equal">
      <formula>INDIRECT(CONCATENATE("status!","$B","$4"))</formula>
    </cfRule>
    <cfRule type="cellIs" dxfId="11" priority="10" operator="equal">
      <formula>INDIRECT(CONCATENATE("status!","$B","$3"))</formula>
    </cfRule>
    <cfRule type="cellIs" dxfId="10" priority="11" operator="equal">
      <formula>INDIRECT(CONCATENATE("status!","$B","$2"))</formula>
    </cfRule>
    <cfRule type="cellIs" dxfId="9" priority="12" operator="equal">
      <formula>INDIRECT(CONCATENATE("member!","$B","$11"))</formula>
    </cfRule>
    <cfRule type="cellIs" dxfId="8" priority="13" operator="equal">
      <formula>INDIRECT(CONCATENATE("member!","$B","$10"))</formula>
    </cfRule>
    <cfRule type="cellIs" dxfId="7" priority="14" operator="equal">
      <formula>INDIRECT(CONCATENATE("member!","$B","$9"))</formula>
    </cfRule>
    <cfRule type="cellIs" dxfId="6" priority="15" operator="equal">
      <formula>INDIRECT(CONCATENATE("member!","$B","$8"))</formula>
    </cfRule>
    <cfRule type="cellIs" dxfId="5" priority="16" operator="equal">
      <formula>INDIRECT(CONCATENATE("member!","$B","$7"))</formula>
    </cfRule>
    <cfRule type="cellIs" dxfId="4" priority="17" operator="equal">
      <formula>INDIRECT(CONCATENATE("member!","$B","$6"))</formula>
    </cfRule>
    <cfRule type="cellIs" dxfId="3" priority="18" operator="equal">
      <formula>INDIRECT(CONCATENATE("member!","$B","$5"))</formula>
    </cfRule>
    <cfRule type="cellIs" dxfId="2" priority="19" operator="equal">
      <formula>INDIRECT(CONCATENATE("member!","$B","$4"))</formula>
    </cfRule>
    <cfRule type="cellIs" dxfId="1" priority="20" operator="equal">
      <formula>INDIRECT(CONCATENATE("member!","$B","$3"))</formula>
    </cfRule>
    <cfRule type="cellIs" dxfId="0" priority="21" operator="equal">
      <formula>INDIRECT(CONCATENATE("member!","$B","$2"))</formula>
    </cfRule>
  </conditionalFormatting>
  <dataValidations count="2">
    <dataValidation type="list" allowBlank="1" showInputMessage="1" showErrorMessage="1" sqref="D7:D16 D18:D27 D29:D38">
      <formula1>INDIRECT(CONCATENATE("member!","$B$2",":","$B$100"))</formula1>
    </dataValidation>
    <dataValidation type="list" allowBlank="1" showInputMessage="1" showErrorMessage="1" sqref="I7:I16 I18:I27 I29:I38">
      <formula1>INDIRECT(CONCATENATE("status!","$B$2",":","$B$100"))</formula1>
    </dataValidation>
  </dataValidations>
  <pageMargins left="0.3888888888888889" right="0.3888888888888889" top="0.3888888888888889" bottom="0.3888888888888889" header="0.19685039370078741" footer="0.19685039370078741"/>
  <pageSetup paperSize="8" orientation="landscape" horizontalDpi="30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lidaySheet">
    <tabColor rgb="FF00B050"/>
  </sheetPr>
  <dimension ref="A1:D355"/>
  <sheetViews>
    <sheetView workbookViewId="0">
      <pane ySplit="1" topLeftCell="A2" activePane="bottomLeft" state="frozen"/>
      <selection activeCell="D25" sqref="D25"/>
      <selection pane="bottomLeft" activeCell="B57" sqref="B57"/>
    </sheetView>
  </sheetViews>
  <sheetFormatPr defaultRowHeight="16.5" x14ac:dyDescent="0.4"/>
  <cols>
    <col min="1" max="1" width="4.5" style="4" bestFit="1" customWidth="1"/>
    <col min="2" max="2" width="11.125" style="4" bestFit="1" customWidth="1"/>
    <col min="3" max="3" width="9.875" style="4" bestFit="1" customWidth="1"/>
    <col min="4" max="4" width="11.5" style="4" bestFit="1" customWidth="1"/>
  </cols>
  <sheetData>
    <row r="1" spans="1:4" s="3" customFormat="1" x14ac:dyDescent="0.4">
      <c r="A1" s="18" t="s">
        <v>51</v>
      </c>
      <c r="B1" s="18" t="s">
        <v>54</v>
      </c>
      <c r="C1" s="18" t="s">
        <v>55</v>
      </c>
      <c r="D1" s="18" t="s">
        <v>53</v>
      </c>
    </row>
    <row r="2" spans="1:4" x14ac:dyDescent="0.4">
      <c r="A2" s="4">
        <v>1</v>
      </c>
      <c r="B2" s="19">
        <v>41275</v>
      </c>
      <c r="C2" s="4" t="s">
        <v>26</v>
      </c>
      <c r="D2" s="4" t="s">
        <v>25</v>
      </c>
    </row>
    <row r="3" spans="1:4" x14ac:dyDescent="0.4">
      <c r="A3" s="4">
        <f t="shared" ref="A3:A11" ca="1" si="0">INDIRECT(ADDRESS(ROW()-1,COLUMN()),TRUE)+1</f>
        <v>2</v>
      </c>
      <c r="B3" s="19">
        <v>41288</v>
      </c>
      <c r="C3" s="4" t="s">
        <v>28</v>
      </c>
      <c r="D3" s="4" t="s">
        <v>27</v>
      </c>
    </row>
    <row r="4" spans="1:4" x14ac:dyDescent="0.4">
      <c r="A4" s="4">
        <f t="shared" ca="1" si="0"/>
        <v>3</v>
      </c>
      <c r="B4" s="19">
        <v>41316</v>
      </c>
      <c r="C4" s="4" t="s">
        <v>28</v>
      </c>
      <c r="D4" s="4" t="s">
        <v>29</v>
      </c>
    </row>
    <row r="5" spans="1:4" x14ac:dyDescent="0.4">
      <c r="A5" s="4">
        <f t="shared" ca="1" si="0"/>
        <v>4</v>
      </c>
      <c r="B5" s="19">
        <v>41353</v>
      </c>
      <c r="C5" s="4" t="s">
        <v>31</v>
      </c>
      <c r="D5" s="4" t="s">
        <v>30</v>
      </c>
    </row>
    <row r="6" spans="1:4" x14ac:dyDescent="0.4">
      <c r="A6" s="4">
        <f t="shared" ca="1" si="0"/>
        <v>5</v>
      </c>
      <c r="B6" s="19">
        <v>41393</v>
      </c>
      <c r="C6" s="4" t="s">
        <v>28</v>
      </c>
      <c r="D6" s="4" t="s">
        <v>32</v>
      </c>
    </row>
    <row r="7" spans="1:4" x14ac:dyDescent="0.4">
      <c r="A7" s="4">
        <f t="shared" ca="1" si="0"/>
        <v>6</v>
      </c>
      <c r="B7" s="19">
        <v>41397</v>
      </c>
      <c r="C7" s="4" t="s">
        <v>34</v>
      </c>
      <c r="D7" s="4" t="s">
        <v>33</v>
      </c>
    </row>
    <row r="8" spans="1:4" x14ac:dyDescent="0.4">
      <c r="A8" s="4">
        <f t="shared" ca="1" si="0"/>
        <v>7</v>
      </c>
      <c r="B8" s="19">
        <v>41398</v>
      </c>
      <c r="C8" s="4" t="s">
        <v>36</v>
      </c>
      <c r="D8" s="4" t="s">
        <v>35</v>
      </c>
    </row>
    <row r="9" spans="1:4" x14ac:dyDescent="0.4">
      <c r="A9" s="4">
        <f t="shared" ca="1" si="0"/>
        <v>8</v>
      </c>
      <c r="B9" s="19">
        <v>41399</v>
      </c>
      <c r="C9" s="4" t="s">
        <v>38</v>
      </c>
      <c r="D9" s="4" t="s">
        <v>37</v>
      </c>
    </row>
    <row r="10" spans="1:4" x14ac:dyDescent="0.4">
      <c r="A10" s="4">
        <f t="shared" ca="1" si="0"/>
        <v>9</v>
      </c>
      <c r="B10" s="19">
        <v>41400</v>
      </c>
      <c r="C10" s="4" t="s">
        <v>28</v>
      </c>
      <c r="D10" s="4" t="s">
        <v>39</v>
      </c>
    </row>
    <row r="11" spans="1:4" x14ac:dyDescent="0.4">
      <c r="A11" s="4">
        <f t="shared" ca="1" si="0"/>
        <v>10</v>
      </c>
      <c r="B11" s="19">
        <v>41470</v>
      </c>
      <c r="C11" s="4" t="s">
        <v>28</v>
      </c>
      <c r="D11" s="4" t="s">
        <v>40</v>
      </c>
    </row>
    <row r="12" spans="1:4" x14ac:dyDescent="0.4">
      <c r="A12" s="4">
        <f t="shared" ref="A12:A75" ca="1" si="1">INDIRECT(ADDRESS(ROW()-1,COLUMN()),TRUE)+1</f>
        <v>11</v>
      </c>
      <c r="B12" s="19">
        <v>41533</v>
      </c>
      <c r="C12" s="4" t="s">
        <v>28</v>
      </c>
      <c r="D12" s="4" t="s">
        <v>41</v>
      </c>
    </row>
    <row r="13" spans="1:4" x14ac:dyDescent="0.4">
      <c r="A13" s="4">
        <f t="shared" ca="1" si="1"/>
        <v>12</v>
      </c>
      <c r="B13" s="19">
        <v>41540</v>
      </c>
      <c r="C13" s="4" t="s">
        <v>28</v>
      </c>
      <c r="D13" s="4" t="s">
        <v>42</v>
      </c>
    </row>
    <row r="14" spans="1:4" x14ac:dyDescent="0.4">
      <c r="A14" s="4">
        <f t="shared" ca="1" si="1"/>
        <v>13</v>
      </c>
      <c r="B14" s="19">
        <v>41561</v>
      </c>
      <c r="C14" s="4" t="s">
        <v>28</v>
      </c>
      <c r="D14" s="4" t="s">
        <v>43</v>
      </c>
    </row>
    <row r="15" spans="1:4" x14ac:dyDescent="0.4">
      <c r="A15" s="4">
        <f t="shared" ca="1" si="1"/>
        <v>14</v>
      </c>
      <c r="B15" s="19">
        <v>41581</v>
      </c>
      <c r="C15" s="4" t="s">
        <v>38</v>
      </c>
      <c r="D15" s="4" t="s">
        <v>44</v>
      </c>
    </row>
    <row r="16" spans="1:4" x14ac:dyDescent="0.4">
      <c r="A16" s="4">
        <f t="shared" ca="1" si="1"/>
        <v>15</v>
      </c>
      <c r="B16" s="19">
        <v>41582</v>
      </c>
      <c r="C16" s="4" t="s">
        <v>28</v>
      </c>
      <c r="D16" s="4" t="s">
        <v>39</v>
      </c>
    </row>
    <row r="17" spans="1:4" x14ac:dyDescent="0.4">
      <c r="A17" s="4">
        <f t="shared" ca="1" si="1"/>
        <v>16</v>
      </c>
      <c r="B17" s="19">
        <v>41601</v>
      </c>
      <c r="C17" s="4" t="s">
        <v>36</v>
      </c>
      <c r="D17" s="4" t="s">
        <v>45</v>
      </c>
    </row>
    <row r="18" spans="1:4" x14ac:dyDescent="0.4">
      <c r="A18" s="4">
        <f t="shared" ca="1" si="1"/>
        <v>17</v>
      </c>
      <c r="B18" s="19">
        <v>41631</v>
      </c>
      <c r="C18" s="4" t="s">
        <v>28</v>
      </c>
      <c r="D18" s="4" t="s">
        <v>46</v>
      </c>
    </row>
    <row r="19" spans="1:4" x14ac:dyDescent="0.4">
      <c r="A19" s="4">
        <f t="shared" ca="1" si="1"/>
        <v>18</v>
      </c>
      <c r="B19" s="19">
        <v>41640</v>
      </c>
      <c r="C19" s="4" t="s">
        <v>31</v>
      </c>
      <c r="D19" s="4" t="s">
        <v>25</v>
      </c>
    </row>
    <row r="20" spans="1:4" x14ac:dyDescent="0.4">
      <c r="A20" s="4">
        <f t="shared" ca="1" si="1"/>
        <v>19</v>
      </c>
      <c r="B20" s="19">
        <v>41652</v>
      </c>
      <c r="C20" s="4" t="s">
        <v>28</v>
      </c>
      <c r="D20" s="4" t="s">
        <v>27</v>
      </c>
    </row>
    <row r="21" spans="1:4" x14ac:dyDescent="0.4">
      <c r="A21" s="4">
        <f t="shared" ca="1" si="1"/>
        <v>20</v>
      </c>
      <c r="B21" s="19">
        <v>41681</v>
      </c>
      <c r="C21" s="4" t="s">
        <v>26</v>
      </c>
      <c r="D21" s="4" t="s">
        <v>29</v>
      </c>
    </row>
    <row r="22" spans="1:4" x14ac:dyDescent="0.4">
      <c r="A22" s="4">
        <f t="shared" ca="1" si="1"/>
        <v>21</v>
      </c>
      <c r="B22" s="19">
        <v>41719</v>
      </c>
      <c r="C22" s="4" t="s">
        <v>34</v>
      </c>
      <c r="D22" s="4" t="s">
        <v>30</v>
      </c>
    </row>
    <row r="23" spans="1:4" x14ac:dyDescent="0.4">
      <c r="A23" s="4">
        <f t="shared" ca="1" si="1"/>
        <v>22</v>
      </c>
      <c r="B23" s="19">
        <v>41758</v>
      </c>
      <c r="C23" s="4" t="s">
        <v>26</v>
      </c>
      <c r="D23" s="4" t="s">
        <v>32</v>
      </c>
    </row>
    <row r="24" spans="1:4" x14ac:dyDescent="0.4">
      <c r="A24" s="4">
        <f t="shared" ca="1" si="1"/>
        <v>23</v>
      </c>
      <c r="B24" s="19">
        <v>41762</v>
      </c>
      <c r="C24" s="4" t="s">
        <v>36</v>
      </c>
      <c r="D24" s="4" t="s">
        <v>33</v>
      </c>
    </row>
    <row r="25" spans="1:4" x14ac:dyDescent="0.4">
      <c r="A25" s="4">
        <f t="shared" ca="1" si="1"/>
        <v>24</v>
      </c>
      <c r="B25" s="19">
        <v>41763</v>
      </c>
      <c r="C25" s="4" t="s">
        <v>38</v>
      </c>
      <c r="D25" s="4" t="s">
        <v>35</v>
      </c>
    </row>
    <row r="26" spans="1:4" x14ac:dyDescent="0.4">
      <c r="A26" s="4">
        <f t="shared" ca="1" si="1"/>
        <v>25</v>
      </c>
      <c r="B26" s="19">
        <v>41764</v>
      </c>
      <c r="C26" s="4" t="s">
        <v>28</v>
      </c>
      <c r="D26" s="4" t="s">
        <v>37</v>
      </c>
    </row>
    <row r="27" spans="1:4" x14ac:dyDescent="0.4">
      <c r="A27" s="4">
        <f t="shared" ca="1" si="1"/>
        <v>26</v>
      </c>
      <c r="B27" s="19">
        <v>41765</v>
      </c>
      <c r="C27" s="4" t="s">
        <v>26</v>
      </c>
      <c r="D27" s="4" t="s">
        <v>39</v>
      </c>
    </row>
    <row r="28" spans="1:4" x14ac:dyDescent="0.4">
      <c r="A28" s="4">
        <f t="shared" ca="1" si="1"/>
        <v>27</v>
      </c>
      <c r="B28" s="19">
        <v>41841</v>
      </c>
      <c r="C28" s="4" t="s">
        <v>28</v>
      </c>
      <c r="D28" s="4" t="s">
        <v>40</v>
      </c>
    </row>
    <row r="29" spans="1:4" x14ac:dyDescent="0.4">
      <c r="A29" s="4">
        <f t="shared" ca="1" si="1"/>
        <v>28</v>
      </c>
      <c r="B29" s="19">
        <v>41897</v>
      </c>
      <c r="C29" s="4" t="s">
        <v>28</v>
      </c>
      <c r="D29" s="4" t="s">
        <v>41</v>
      </c>
    </row>
    <row r="30" spans="1:4" x14ac:dyDescent="0.4">
      <c r="A30" s="4">
        <f t="shared" ca="1" si="1"/>
        <v>29</v>
      </c>
      <c r="B30" s="19">
        <v>41905</v>
      </c>
      <c r="C30" s="4" t="s">
        <v>26</v>
      </c>
      <c r="D30" s="4" t="s">
        <v>42</v>
      </c>
    </row>
    <row r="31" spans="1:4" x14ac:dyDescent="0.4">
      <c r="A31" s="4">
        <f t="shared" ca="1" si="1"/>
        <v>30</v>
      </c>
      <c r="B31" s="19">
        <v>41925</v>
      </c>
      <c r="C31" s="4" t="s">
        <v>28</v>
      </c>
      <c r="D31" s="4" t="s">
        <v>43</v>
      </c>
    </row>
    <row r="32" spans="1:4" x14ac:dyDescent="0.4">
      <c r="A32" s="4">
        <f t="shared" ca="1" si="1"/>
        <v>31</v>
      </c>
      <c r="B32" s="19">
        <v>41946</v>
      </c>
      <c r="C32" s="4" t="s">
        <v>28</v>
      </c>
      <c r="D32" s="4" t="s">
        <v>44</v>
      </c>
    </row>
    <row r="33" spans="1:4" x14ac:dyDescent="0.4">
      <c r="A33" s="4">
        <f t="shared" ca="1" si="1"/>
        <v>32</v>
      </c>
      <c r="B33" s="19">
        <v>41966</v>
      </c>
      <c r="C33" s="4" t="s">
        <v>38</v>
      </c>
      <c r="D33" s="4" t="s">
        <v>45</v>
      </c>
    </row>
    <row r="34" spans="1:4" x14ac:dyDescent="0.4">
      <c r="A34" s="4">
        <f t="shared" ca="1" si="1"/>
        <v>33</v>
      </c>
      <c r="B34" s="19">
        <v>41967</v>
      </c>
      <c r="C34" s="4" t="s">
        <v>28</v>
      </c>
      <c r="D34" s="4" t="s">
        <v>39</v>
      </c>
    </row>
    <row r="35" spans="1:4" x14ac:dyDescent="0.4">
      <c r="A35" s="4">
        <f t="shared" ca="1" si="1"/>
        <v>34</v>
      </c>
      <c r="B35" s="19">
        <v>41996</v>
      </c>
      <c r="C35" s="4" t="s">
        <v>26</v>
      </c>
      <c r="D35" s="4" t="s">
        <v>46</v>
      </c>
    </row>
    <row r="36" spans="1:4" x14ac:dyDescent="0.4">
      <c r="A36" s="4">
        <f t="shared" ca="1" si="1"/>
        <v>35</v>
      </c>
      <c r="B36" s="19">
        <v>42005</v>
      </c>
      <c r="C36" s="4" t="s">
        <v>47</v>
      </c>
      <c r="D36" s="4" t="s">
        <v>25</v>
      </c>
    </row>
    <row r="37" spans="1:4" x14ac:dyDescent="0.4">
      <c r="A37" s="4">
        <f t="shared" ca="1" si="1"/>
        <v>36</v>
      </c>
      <c r="B37" s="19">
        <v>42016</v>
      </c>
      <c r="C37" s="4" t="s">
        <v>28</v>
      </c>
      <c r="D37" s="4" t="s">
        <v>27</v>
      </c>
    </row>
    <row r="38" spans="1:4" x14ac:dyDescent="0.4">
      <c r="A38" s="4">
        <f t="shared" ca="1" si="1"/>
        <v>37</v>
      </c>
      <c r="B38" s="19">
        <v>42046</v>
      </c>
      <c r="C38" s="4" t="s">
        <v>31</v>
      </c>
      <c r="D38" s="4" t="s">
        <v>29</v>
      </c>
    </row>
    <row r="39" spans="1:4" x14ac:dyDescent="0.4">
      <c r="A39" s="4">
        <f t="shared" ca="1" si="1"/>
        <v>38</v>
      </c>
      <c r="B39" s="19">
        <v>42084</v>
      </c>
      <c r="C39" s="4" t="s">
        <v>36</v>
      </c>
      <c r="D39" s="4" t="s">
        <v>30</v>
      </c>
    </row>
    <row r="40" spans="1:4" x14ac:dyDescent="0.4">
      <c r="A40" s="4">
        <f t="shared" ca="1" si="1"/>
        <v>39</v>
      </c>
      <c r="B40" s="19">
        <v>42123</v>
      </c>
      <c r="C40" s="4" t="s">
        <v>31</v>
      </c>
      <c r="D40" s="4" t="s">
        <v>32</v>
      </c>
    </row>
    <row r="41" spans="1:4" x14ac:dyDescent="0.4">
      <c r="A41" s="4">
        <f t="shared" ca="1" si="1"/>
        <v>40</v>
      </c>
      <c r="B41" s="19">
        <v>42127</v>
      </c>
      <c r="C41" s="4" t="s">
        <v>38</v>
      </c>
      <c r="D41" s="4" t="s">
        <v>33</v>
      </c>
    </row>
    <row r="42" spans="1:4" x14ac:dyDescent="0.4">
      <c r="A42" s="4">
        <f t="shared" ca="1" si="1"/>
        <v>41</v>
      </c>
      <c r="B42" s="19">
        <v>42128</v>
      </c>
      <c r="C42" s="4" t="s">
        <v>28</v>
      </c>
      <c r="D42" s="4" t="s">
        <v>35</v>
      </c>
    </row>
    <row r="43" spans="1:4" x14ac:dyDescent="0.4">
      <c r="A43" s="4">
        <f t="shared" ca="1" si="1"/>
        <v>42</v>
      </c>
      <c r="B43" s="19">
        <v>42129</v>
      </c>
      <c r="C43" s="4" t="s">
        <v>26</v>
      </c>
      <c r="D43" s="4" t="s">
        <v>37</v>
      </c>
    </row>
    <row r="44" spans="1:4" x14ac:dyDescent="0.4">
      <c r="A44" s="4">
        <f t="shared" ca="1" si="1"/>
        <v>43</v>
      </c>
      <c r="B44" s="19">
        <v>42130</v>
      </c>
      <c r="C44" s="4" t="s">
        <v>31</v>
      </c>
      <c r="D44" s="4" t="s">
        <v>39</v>
      </c>
    </row>
    <row r="45" spans="1:4" x14ac:dyDescent="0.4">
      <c r="A45" s="4">
        <f t="shared" ca="1" si="1"/>
        <v>44</v>
      </c>
      <c r="B45" s="19">
        <v>42205</v>
      </c>
      <c r="C45" s="4" t="s">
        <v>28</v>
      </c>
      <c r="D45" s="4" t="s">
        <v>40</v>
      </c>
    </row>
    <row r="46" spans="1:4" x14ac:dyDescent="0.4">
      <c r="A46" s="4">
        <f t="shared" ca="1" si="1"/>
        <v>45</v>
      </c>
      <c r="B46" s="19">
        <v>42268</v>
      </c>
      <c r="C46" s="4" t="s">
        <v>28</v>
      </c>
      <c r="D46" s="4" t="s">
        <v>41</v>
      </c>
    </row>
    <row r="47" spans="1:4" x14ac:dyDescent="0.4">
      <c r="A47" s="4">
        <f t="shared" ca="1" si="1"/>
        <v>46</v>
      </c>
      <c r="B47" s="19">
        <v>42269</v>
      </c>
      <c r="C47" s="4" t="s">
        <v>26</v>
      </c>
      <c r="D47" s="4" t="s">
        <v>48</v>
      </c>
    </row>
    <row r="48" spans="1:4" x14ac:dyDescent="0.4">
      <c r="A48" s="4">
        <f t="shared" ca="1" si="1"/>
        <v>47</v>
      </c>
      <c r="B48" s="19">
        <v>42270</v>
      </c>
      <c r="C48" s="4" t="s">
        <v>31</v>
      </c>
      <c r="D48" s="4" t="s">
        <v>42</v>
      </c>
    </row>
    <row r="49" spans="1:4" x14ac:dyDescent="0.4">
      <c r="A49" s="4">
        <f t="shared" ca="1" si="1"/>
        <v>48</v>
      </c>
      <c r="B49" s="19">
        <v>42289</v>
      </c>
      <c r="C49" s="4" t="s">
        <v>28</v>
      </c>
      <c r="D49" s="4" t="s">
        <v>43</v>
      </c>
    </row>
    <row r="50" spans="1:4" x14ac:dyDescent="0.4">
      <c r="A50" s="4">
        <f t="shared" ca="1" si="1"/>
        <v>49</v>
      </c>
      <c r="B50" s="19">
        <v>42311</v>
      </c>
      <c r="C50" s="4" t="s">
        <v>26</v>
      </c>
      <c r="D50" s="4" t="s">
        <v>44</v>
      </c>
    </row>
    <row r="51" spans="1:4" x14ac:dyDescent="0.4">
      <c r="A51" s="4">
        <f t="shared" ca="1" si="1"/>
        <v>50</v>
      </c>
      <c r="B51" s="19">
        <v>42331</v>
      </c>
      <c r="C51" s="4" t="s">
        <v>28</v>
      </c>
      <c r="D51" s="4" t="s">
        <v>45</v>
      </c>
    </row>
    <row r="52" spans="1:4" x14ac:dyDescent="0.4">
      <c r="A52" s="4">
        <f t="shared" ca="1" si="1"/>
        <v>51</v>
      </c>
      <c r="B52" s="19">
        <v>42361</v>
      </c>
      <c r="C52" s="4" t="s">
        <v>31</v>
      </c>
      <c r="D52" s="4" t="s">
        <v>46</v>
      </c>
    </row>
    <row r="53" spans="1:4" x14ac:dyDescent="0.4">
      <c r="A53" s="4">
        <f t="shared" ca="1" si="1"/>
        <v>52</v>
      </c>
      <c r="B53" s="19">
        <v>42370</v>
      </c>
      <c r="C53" s="4" t="s">
        <v>34</v>
      </c>
      <c r="D53" s="4" t="s">
        <v>25</v>
      </c>
    </row>
    <row r="54" spans="1:4" x14ac:dyDescent="0.4">
      <c r="A54" s="4">
        <f t="shared" ca="1" si="1"/>
        <v>53</v>
      </c>
      <c r="B54" s="19">
        <v>42380</v>
      </c>
      <c r="C54" s="4" t="s">
        <v>28</v>
      </c>
      <c r="D54" s="4" t="s">
        <v>27</v>
      </c>
    </row>
    <row r="55" spans="1:4" x14ac:dyDescent="0.4">
      <c r="A55" s="4">
        <f t="shared" ca="1" si="1"/>
        <v>54</v>
      </c>
      <c r="B55" s="19">
        <v>42411</v>
      </c>
      <c r="C55" s="4" t="s">
        <v>47</v>
      </c>
      <c r="D55" s="4" t="s">
        <v>29</v>
      </c>
    </row>
    <row r="56" spans="1:4" x14ac:dyDescent="0.4">
      <c r="A56" s="4">
        <f t="shared" ca="1" si="1"/>
        <v>55</v>
      </c>
      <c r="B56" s="19">
        <v>42449</v>
      </c>
      <c r="C56" s="4" t="s">
        <v>38</v>
      </c>
      <c r="D56" s="4" t="s">
        <v>30</v>
      </c>
    </row>
    <row r="57" spans="1:4" x14ac:dyDescent="0.4">
      <c r="A57" s="4">
        <f t="shared" ca="1" si="1"/>
        <v>56</v>
      </c>
      <c r="B57" s="19">
        <v>42450</v>
      </c>
      <c r="C57" s="4" t="s">
        <v>28</v>
      </c>
      <c r="D57" s="4" t="s">
        <v>39</v>
      </c>
    </row>
    <row r="58" spans="1:4" x14ac:dyDescent="0.4">
      <c r="A58" s="4">
        <f t="shared" ca="1" si="1"/>
        <v>57</v>
      </c>
      <c r="B58" s="19">
        <v>42489</v>
      </c>
      <c r="C58" s="4" t="s">
        <v>34</v>
      </c>
      <c r="D58" s="4" t="s">
        <v>32</v>
      </c>
    </row>
    <row r="59" spans="1:4" x14ac:dyDescent="0.4">
      <c r="A59" s="4">
        <f t="shared" ca="1" si="1"/>
        <v>58</v>
      </c>
      <c r="B59" s="19">
        <v>42493</v>
      </c>
      <c r="C59" s="4" t="s">
        <v>26</v>
      </c>
      <c r="D59" s="4" t="s">
        <v>33</v>
      </c>
    </row>
    <row r="60" spans="1:4" x14ac:dyDescent="0.4">
      <c r="A60" s="4">
        <f t="shared" ca="1" si="1"/>
        <v>59</v>
      </c>
      <c r="B60" s="19">
        <v>42494</v>
      </c>
      <c r="C60" s="4" t="s">
        <v>31</v>
      </c>
      <c r="D60" s="4" t="s">
        <v>35</v>
      </c>
    </row>
    <row r="61" spans="1:4" x14ac:dyDescent="0.4">
      <c r="A61" s="4">
        <f t="shared" ca="1" si="1"/>
        <v>60</v>
      </c>
      <c r="B61" s="19">
        <v>42495</v>
      </c>
      <c r="C61" s="4" t="s">
        <v>47</v>
      </c>
      <c r="D61" s="4" t="s">
        <v>37</v>
      </c>
    </row>
    <row r="62" spans="1:4" x14ac:dyDescent="0.4">
      <c r="A62" s="4">
        <f t="shared" ca="1" si="1"/>
        <v>61</v>
      </c>
      <c r="B62" s="19">
        <v>42569</v>
      </c>
      <c r="C62" s="4" t="s">
        <v>28</v>
      </c>
      <c r="D62" s="4" t="s">
        <v>40</v>
      </c>
    </row>
    <row r="63" spans="1:4" x14ac:dyDescent="0.4">
      <c r="A63" s="4">
        <f t="shared" ca="1" si="1"/>
        <v>62</v>
      </c>
      <c r="B63" s="19">
        <v>42593</v>
      </c>
      <c r="C63" s="4" t="s">
        <v>47</v>
      </c>
      <c r="D63" s="4" t="s">
        <v>49</v>
      </c>
    </row>
    <row r="64" spans="1:4" x14ac:dyDescent="0.4">
      <c r="A64" s="4">
        <f t="shared" ca="1" si="1"/>
        <v>63</v>
      </c>
      <c r="B64" s="19">
        <v>42632</v>
      </c>
      <c r="C64" s="4" t="s">
        <v>28</v>
      </c>
      <c r="D64" s="4" t="s">
        <v>41</v>
      </c>
    </row>
    <row r="65" spans="1:4" x14ac:dyDescent="0.4">
      <c r="A65" s="4">
        <f t="shared" ca="1" si="1"/>
        <v>64</v>
      </c>
      <c r="B65" s="19">
        <v>42635</v>
      </c>
      <c r="C65" s="4" t="s">
        <v>47</v>
      </c>
      <c r="D65" s="4" t="s">
        <v>42</v>
      </c>
    </row>
    <row r="66" spans="1:4" x14ac:dyDescent="0.4">
      <c r="A66" s="4">
        <f t="shared" ca="1" si="1"/>
        <v>65</v>
      </c>
      <c r="B66" s="19">
        <v>42653</v>
      </c>
      <c r="C66" s="4" t="s">
        <v>28</v>
      </c>
      <c r="D66" s="4" t="s">
        <v>43</v>
      </c>
    </row>
    <row r="67" spans="1:4" x14ac:dyDescent="0.4">
      <c r="A67" s="4">
        <f t="shared" ca="1" si="1"/>
        <v>66</v>
      </c>
      <c r="B67" s="19">
        <v>42677</v>
      </c>
      <c r="C67" s="4" t="s">
        <v>47</v>
      </c>
      <c r="D67" s="4" t="s">
        <v>44</v>
      </c>
    </row>
    <row r="68" spans="1:4" x14ac:dyDescent="0.4">
      <c r="A68" s="4">
        <f t="shared" ca="1" si="1"/>
        <v>67</v>
      </c>
      <c r="B68" s="19">
        <v>42697</v>
      </c>
      <c r="C68" s="4" t="s">
        <v>31</v>
      </c>
      <c r="D68" s="4" t="s">
        <v>45</v>
      </c>
    </row>
    <row r="69" spans="1:4" x14ac:dyDescent="0.4">
      <c r="A69" s="4">
        <f t="shared" ca="1" si="1"/>
        <v>68</v>
      </c>
      <c r="B69" s="19">
        <v>42727</v>
      </c>
      <c r="C69" s="4" t="s">
        <v>34</v>
      </c>
      <c r="D69" s="4" t="s">
        <v>46</v>
      </c>
    </row>
    <row r="70" spans="1:4" x14ac:dyDescent="0.4">
      <c r="A70" s="4">
        <f t="shared" ca="1" si="1"/>
        <v>69</v>
      </c>
      <c r="B70" s="19">
        <v>42736</v>
      </c>
      <c r="C70" s="4" t="s">
        <v>38</v>
      </c>
      <c r="D70" s="4" t="s">
        <v>25</v>
      </c>
    </row>
    <row r="71" spans="1:4" x14ac:dyDescent="0.4">
      <c r="A71" s="4">
        <f t="shared" ca="1" si="1"/>
        <v>70</v>
      </c>
      <c r="B71" s="19">
        <v>42737</v>
      </c>
      <c r="C71" s="4" t="s">
        <v>28</v>
      </c>
      <c r="D71" s="4" t="s">
        <v>39</v>
      </c>
    </row>
    <row r="72" spans="1:4" x14ac:dyDescent="0.4">
      <c r="A72" s="4">
        <f t="shared" ca="1" si="1"/>
        <v>71</v>
      </c>
      <c r="B72" s="19">
        <v>42744</v>
      </c>
      <c r="C72" s="4" t="s">
        <v>28</v>
      </c>
      <c r="D72" s="4" t="s">
        <v>27</v>
      </c>
    </row>
    <row r="73" spans="1:4" x14ac:dyDescent="0.4">
      <c r="A73" s="4">
        <f t="shared" ca="1" si="1"/>
        <v>72</v>
      </c>
      <c r="B73" s="19">
        <v>42777</v>
      </c>
      <c r="C73" s="4" t="s">
        <v>36</v>
      </c>
      <c r="D73" s="4" t="s">
        <v>29</v>
      </c>
    </row>
    <row r="74" spans="1:4" x14ac:dyDescent="0.4">
      <c r="A74" s="4">
        <f t="shared" ca="1" si="1"/>
        <v>73</v>
      </c>
      <c r="B74" s="19">
        <v>42814</v>
      </c>
      <c r="C74" s="4" t="s">
        <v>28</v>
      </c>
      <c r="D74" s="4" t="s">
        <v>30</v>
      </c>
    </row>
    <row r="75" spans="1:4" x14ac:dyDescent="0.4">
      <c r="A75" s="4">
        <f t="shared" ca="1" si="1"/>
        <v>74</v>
      </c>
      <c r="B75" s="19">
        <v>42854</v>
      </c>
      <c r="C75" s="4" t="s">
        <v>36</v>
      </c>
      <c r="D75" s="4" t="s">
        <v>32</v>
      </c>
    </row>
    <row r="76" spans="1:4" x14ac:dyDescent="0.4">
      <c r="A76" s="4">
        <f t="shared" ref="A76:A139" ca="1" si="2">INDIRECT(ADDRESS(ROW()-1,COLUMN()),TRUE)+1</f>
        <v>75</v>
      </c>
      <c r="B76" s="19">
        <v>42858</v>
      </c>
      <c r="C76" s="4" t="s">
        <v>31</v>
      </c>
      <c r="D76" s="4" t="s">
        <v>33</v>
      </c>
    </row>
    <row r="77" spans="1:4" x14ac:dyDescent="0.4">
      <c r="A77" s="4">
        <f t="shared" ca="1" si="2"/>
        <v>76</v>
      </c>
      <c r="B77" s="19">
        <v>42859</v>
      </c>
      <c r="C77" s="4" t="s">
        <v>47</v>
      </c>
      <c r="D77" s="4" t="s">
        <v>35</v>
      </c>
    </row>
    <row r="78" spans="1:4" x14ac:dyDescent="0.4">
      <c r="A78" s="4">
        <f t="shared" ca="1" si="2"/>
        <v>77</v>
      </c>
      <c r="B78" s="19">
        <v>42860</v>
      </c>
      <c r="C78" s="4" t="s">
        <v>34</v>
      </c>
      <c r="D78" s="4" t="s">
        <v>37</v>
      </c>
    </row>
    <row r="79" spans="1:4" x14ac:dyDescent="0.4">
      <c r="A79" s="4">
        <f t="shared" ca="1" si="2"/>
        <v>78</v>
      </c>
      <c r="B79" s="19">
        <v>42933</v>
      </c>
      <c r="C79" s="4" t="s">
        <v>28</v>
      </c>
      <c r="D79" s="4" t="s">
        <v>40</v>
      </c>
    </row>
    <row r="80" spans="1:4" x14ac:dyDescent="0.4">
      <c r="A80" s="4">
        <f t="shared" ca="1" si="2"/>
        <v>79</v>
      </c>
      <c r="B80" s="19">
        <v>42958</v>
      </c>
      <c r="C80" s="4" t="s">
        <v>34</v>
      </c>
      <c r="D80" s="4" t="s">
        <v>49</v>
      </c>
    </row>
    <row r="81" spans="1:4" x14ac:dyDescent="0.4">
      <c r="A81" s="4">
        <f t="shared" ca="1" si="2"/>
        <v>80</v>
      </c>
      <c r="B81" s="19">
        <v>42996</v>
      </c>
      <c r="C81" s="4" t="s">
        <v>28</v>
      </c>
      <c r="D81" s="4" t="s">
        <v>41</v>
      </c>
    </row>
    <row r="82" spans="1:4" x14ac:dyDescent="0.4">
      <c r="A82" s="4">
        <f t="shared" ca="1" si="2"/>
        <v>81</v>
      </c>
      <c r="B82" s="19">
        <v>43001</v>
      </c>
      <c r="C82" s="4" t="s">
        <v>36</v>
      </c>
      <c r="D82" s="4" t="s">
        <v>42</v>
      </c>
    </row>
    <row r="83" spans="1:4" x14ac:dyDescent="0.4">
      <c r="A83" s="4">
        <f t="shared" ca="1" si="2"/>
        <v>82</v>
      </c>
      <c r="B83" s="19">
        <v>43017</v>
      </c>
      <c r="C83" s="4" t="s">
        <v>28</v>
      </c>
      <c r="D83" s="4" t="s">
        <v>43</v>
      </c>
    </row>
    <row r="84" spans="1:4" x14ac:dyDescent="0.4">
      <c r="A84" s="4">
        <f t="shared" ca="1" si="2"/>
        <v>83</v>
      </c>
      <c r="B84" s="19">
        <v>43042</v>
      </c>
      <c r="C84" s="4" t="s">
        <v>34</v>
      </c>
      <c r="D84" s="4" t="s">
        <v>44</v>
      </c>
    </row>
    <row r="85" spans="1:4" x14ac:dyDescent="0.4">
      <c r="A85" s="4">
        <f t="shared" ca="1" si="2"/>
        <v>84</v>
      </c>
      <c r="B85" s="19">
        <v>43062</v>
      </c>
      <c r="C85" s="4" t="s">
        <v>47</v>
      </c>
      <c r="D85" s="4" t="s">
        <v>45</v>
      </c>
    </row>
    <row r="86" spans="1:4" x14ac:dyDescent="0.4">
      <c r="A86" s="4">
        <f t="shared" ca="1" si="2"/>
        <v>85</v>
      </c>
      <c r="B86" s="19">
        <v>43092</v>
      </c>
      <c r="C86" s="4" t="s">
        <v>36</v>
      </c>
      <c r="D86" s="4" t="s">
        <v>46</v>
      </c>
    </row>
    <row r="87" spans="1:4" x14ac:dyDescent="0.4">
      <c r="A87" s="4">
        <f t="shared" ca="1" si="2"/>
        <v>86</v>
      </c>
      <c r="B87" s="19">
        <v>43101</v>
      </c>
      <c r="C87" s="4" t="s">
        <v>28</v>
      </c>
      <c r="D87" s="4" t="s">
        <v>25</v>
      </c>
    </row>
    <row r="88" spans="1:4" x14ac:dyDescent="0.4">
      <c r="A88" s="4">
        <f t="shared" ca="1" si="2"/>
        <v>87</v>
      </c>
      <c r="B88" s="19">
        <v>43108</v>
      </c>
      <c r="C88" s="4" t="s">
        <v>28</v>
      </c>
      <c r="D88" s="4" t="s">
        <v>27</v>
      </c>
    </row>
    <row r="89" spans="1:4" x14ac:dyDescent="0.4">
      <c r="A89" s="4">
        <f t="shared" ca="1" si="2"/>
        <v>88</v>
      </c>
      <c r="B89" s="19">
        <v>43142</v>
      </c>
      <c r="C89" s="4" t="s">
        <v>38</v>
      </c>
      <c r="D89" s="4" t="s">
        <v>29</v>
      </c>
    </row>
    <row r="90" spans="1:4" x14ac:dyDescent="0.4">
      <c r="A90" s="4">
        <f t="shared" ca="1" si="2"/>
        <v>89</v>
      </c>
      <c r="B90" s="19">
        <v>43143</v>
      </c>
      <c r="C90" s="4" t="s">
        <v>28</v>
      </c>
      <c r="D90" s="4" t="s">
        <v>39</v>
      </c>
    </row>
    <row r="91" spans="1:4" x14ac:dyDescent="0.4">
      <c r="A91" s="4">
        <f t="shared" ca="1" si="2"/>
        <v>90</v>
      </c>
      <c r="B91" s="19">
        <v>43180</v>
      </c>
      <c r="C91" s="4" t="s">
        <v>31</v>
      </c>
      <c r="D91" s="4" t="s">
        <v>30</v>
      </c>
    </row>
    <row r="92" spans="1:4" x14ac:dyDescent="0.4">
      <c r="A92" s="4">
        <f t="shared" ca="1" si="2"/>
        <v>91</v>
      </c>
      <c r="B92" s="19">
        <v>43219</v>
      </c>
      <c r="C92" s="4" t="s">
        <v>38</v>
      </c>
      <c r="D92" s="4" t="s">
        <v>32</v>
      </c>
    </row>
    <row r="93" spans="1:4" x14ac:dyDescent="0.4">
      <c r="A93" s="4">
        <f t="shared" ca="1" si="2"/>
        <v>92</v>
      </c>
      <c r="B93" s="19">
        <v>43220</v>
      </c>
      <c r="C93" s="4" t="s">
        <v>28</v>
      </c>
      <c r="D93" s="4" t="s">
        <v>39</v>
      </c>
    </row>
    <row r="94" spans="1:4" x14ac:dyDescent="0.4">
      <c r="A94" s="4">
        <f t="shared" ca="1" si="2"/>
        <v>93</v>
      </c>
      <c r="B94" s="19">
        <v>43223</v>
      </c>
      <c r="C94" s="4" t="s">
        <v>47</v>
      </c>
      <c r="D94" s="4" t="s">
        <v>33</v>
      </c>
    </row>
    <row r="95" spans="1:4" x14ac:dyDescent="0.4">
      <c r="A95" s="4">
        <f t="shared" ca="1" si="2"/>
        <v>94</v>
      </c>
      <c r="B95" s="19">
        <v>43224</v>
      </c>
      <c r="C95" s="4" t="s">
        <v>34</v>
      </c>
      <c r="D95" s="4" t="s">
        <v>35</v>
      </c>
    </row>
    <row r="96" spans="1:4" x14ac:dyDescent="0.4">
      <c r="A96" s="4">
        <f t="shared" ca="1" si="2"/>
        <v>95</v>
      </c>
      <c r="B96" s="19">
        <v>43225</v>
      </c>
      <c r="C96" s="4" t="s">
        <v>36</v>
      </c>
      <c r="D96" s="4" t="s">
        <v>37</v>
      </c>
    </row>
    <row r="97" spans="1:4" x14ac:dyDescent="0.4">
      <c r="A97" s="4">
        <f t="shared" ca="1" si="2"/>
        <v>96</v>
      </c>
      <c r="B97" s="19">
        <v>43297</v>
      </c>
      <c r="C97" s="4" t="s">
        <v>28</v>
      </c>
      <c r="D97" s="4" t="s">
        <v>40</v>
      </c>
    </row>
    <row r="98" spans="1:4" x14ac:dyDescent="0.4">
      <c r="A98" s="4">
        <f t="shared" ca="1" si="2"/>
        <v>97</v>
      </c>
      <c r="B98" s="19">
        <v>43323</v>
      </c>
      <c r="C98" s="4" t="s">
        <v>36</v>
      </c>
      <c r="D98" s="4" t="s">
        <v>49</v>
      </c>
    </row>
    <row r="99" spans="1:4" x14ac:dyDescent="0.4">
      <c r="A99" s="4">
        <f t="shared" ca="1" si="2"/>
        <v>98</v>
      </c>
      <c r="B99" s="19">
        <v>43360</v>
      </c>
      <c r="C99" s="4" t="s">
        <v>28</v>
      </c>
      <c r="D99" s="4" t="s">
        <v>41</v>
      </c>
    </row>
    <row r="100" spans="1:4" x14ac:dyDescent="0.4">
      <c r="A100" s="4">
        <f t="shared" ca="1" si="2"/>
        <v>99</v>
      </c>
      <c r="B100" s="19">
        <v>43366</v>
      </c>
      <c r="C100" s="4" t="s">
        <v>38</v>
      </c>
      <c r="D100" s="4" t="s">
        <v>42</v>
      </c>
    </row>
    <row r="101" spans="1:4" x14ac:dyDescent="0.4">
      <c r="A101" s="4">
        <f t="shared" ca="1" si="2"/>
        <v>100</v>
      </c>
      <c r="B101" s="19">
        <v>43367</v>
      </c>
      <c r="C101" s="4" t="s">
        <v>28</v>
      </c>
      <c r="D101" s="4" t="s">
        <v>39</v>
      </c>
    </row>
    <row r="102" spans="1:4" x14ac:dyDescent="0.4">
      <c r="A102" s="4">
        <f t="shared" ca="1" si="2"/>
        <v>101</v>
      </c>
      <c r="B102" s="19">
        <v>43381</v>
      </c>
      <c r="C102" s="4" t="s">
        <v>28</v>
      </c>
      <c r="D102" s="4" t="s">
        <v>43</v>
      </c>
    </row>
    <row r="103" spans="1:4" x14ac:dyDescent="0.4">
      <c r="A103" s="4">
        <f t="shared" ca="1" si="2"/>
        <v>102</v>
      </c>
      <c r="B103" s="19">
        <v>43407</v>
      </c>
      <c r="C103" s="4" t="s">
        <v>36</v>
      </c>
      <c r="D103" s="4" t="s">
        <v>44</v>
      </c>
    </row>
    <row r="104" spans="1:4" x14ac:dyDescent="0.4">
      <c r="A104" s="4">
        <f t="shared" ca="1" si="2"/>
        <v>103</v>
      </c>
      <c r="B104" s="19">
        <v>43427</v>
      </c>
      <c r="C104" s="4" t="s">
        <v>34</v>
      </c>
      <c r="D104" s="4" t="s">
        <v>45</v>
      </c>
    </row>
    <row r="105" spans="1:4" x14ac:dyDescent="0.4">
      <c r="A105" s="4">
        <f t="shared" ca="1" si="2"/>
        <v>104</v>
      </c>
      <c r="B105" s="19">
        <v>43457</v>
      </c>
      <c r="C105" s="4" t="s">
        <v>38</v>
      </c>
      <c r="D105" s="4" t="s">
        <v>46</v>
      </c>
    </row>
    <row r="106" spans="1:4" x14ac:dyDescent="0.4">
      <c r="A106" s="4">
        <f t="shared" ca="1" si="2"/>
        <v>105</v>
      </c>
      <c r="B106" s="19">
        <v>43458</v>
      </c>
      <c r="C106" s="4" t="s">
        <v>28</v>
      </c>
      <c r="D106" s="4" t="s">
        <v>39</v>
      </c>
    </row>
    <row r="107" spans="1:4" x14ac:dyDescent="0.4">
      <c r="A107" s="4">
        <f t="shared" ca="1" si="2"/>
        <v>106</v>
      </c>
      <c r="B107" s="19">
        <v>43466</v>
      </c>
      <c r="C107" s="4" t="s">
        <v>26</v>
      </c>
      <c r="D107" s="4" t="s">
        <v>25</v>
      </c>
    </row>
    <row r="108" spans="1:4" x14ac:dyDescent="0.4">
      <c r="A108" s="4">
        <f t="shared" ca="1" si="2"/>
        <v>107</v>
      </c>
      <c r="B108" s="19">
        <v>43479</v>
      </c>
      <c r="C108" s="4" t="s">
        <v>28</v>
      </c>
      <c r="D108" s="4" t="s">
        <v>27</v>
      </c>
    </row>
    <row r="109" spans="1:4" x14ac:dyDescent="0.4">
      <c r="A109" s="4">
        <f t="shared" ca="1" si="2"/>
        <v>108</v>
      </c>
      <c r="B109" s="19">
        <v>43507</v>
      </c>
      <c r="C109" s="4" t="s">
        <v>28</v>
      </c>
      <c r="D109" s="4" t="s">
        <v>29</v>
      </c>
    </row>
    <row r="110" spans="1:4" x14ac:dyDescent="0.4">
      <c r="A110" s="4">
        <f t="shared" ca="1" si="2"/>
        <v>109</v>
      </c>
      <c r="B110" s="19">
        <v>43545</v>
      </c>
      <c r="C110" s="4" t="s">
        <v>47</v>
      </c>
      <c r="D110" s="4" t="s">
        <v>30</v>
      </c>
    </row>
    <row r="111" spans="1:4" x14ac:dyDescent="0.4">
      <c r="A111" s="4">
        <f t="shared" ca="1" si="2"/>
        <v>110</v>
      </c>
      <c r="B111" s="19">
        <v>43584</v>
      </c>
      <c r="C111" s="4" t="s">
        <v>28</v>
      </c>
      <c r="D111" s="4" t="s">
        <v>32</v>
      </c>
    </row>
    <row r="112" spans="1:4" x14ac:dyDescent="0.4">
      <c r="A112" s="4">
        <f t="shared" ca="1" si="2"/>
        <v>111</v>
      </c>
      <c r="B112" s="19">
        <v>43588</v>
      </c>
      <c r="C112" s="4" t="s">
        <v>34</v>
      </c>
      <c r="D112" s="4" t="s">
        <v>33</v>
      </c>
    </row>
    <row r="113" spans="1:4" x14ac:dyDescent="0.4">
      <c r="A113" s="4">
        <f t="shared" ca="1" si="2"/>
        <v>112</v>
      </c>
      <c r="B113" s="19">
        <v>43589</v>
      </c>
      <c r="C113" s="4" t="s">
        <v>36</v>
      </c>
      <c r="D113" s="4" t="s">
        <v>35</v>
      </c>
    </row>
    <row r="114" spans="1:4" x14ac:dyDescent="0.4">
      <c r="A114" s="4">
        <f t="shared" ca="1" si="2"/>
        <v>113</v>
      </c>
      <c r="B114" s="19">
        <v>43590</v>
      </c>
      <c r="C114" s="4" t="s">
        <v>38</v>
      </c>
      <c r="D114" s="4" t="s">
        <v>37</v>
      </c>
    </row>
    <row r="115" spans="1:4" x14ac:dyDescent="0.4">
      <c r="A115" s="4">
        <f t="shared" ca="1" si="2"/>
        <v>114</v>
      </c>
      <c r="B115" s="19">
        <v>43591</v>
      </c>
      <c r="C115" s="4" t="s">
        <v>28</v>
      </c>
      <c r="D115" s="4" t="s">
        <v>39</v>
      </c>
    </row>
    <row r="116" spans="1:4" x14ac:dyDescent="0.4">
      <c r="A116" s="4">
        <f t="shared" ca="1" si="2"/>
        <v>115</v>
      </c>
      <c r="B116" s="19">
        <v>43661</v>
      </c>
      <c r="C116" s="4" t="s">
        <v>28</v>
      </c>
      <c r="D116" s="4" t="s">
        <v>40</v>
      </c>
    </row>
    <row r="117" spans="1:4" x14ac:dyDescent="0.4">
      <c r="A117" s="4">
        <f t="shared" ca="1" si="2"/>
        <v>116</v>
      </c>
      <c r="B117" s="19">
        <v>43688</v>
      </c>
      <c r="C117" s="4" t="s">
        <v>38</v>
      </c>
      <c r="D117" s="4" t="s">
        <v>49</v>
      </c>
    </row>
    <row r="118" spans="1:4" x14ac:dyDescent="0.4">
      <c r="A118" s="4">
        <f t="shared" ca="1" si="2"/>
        <v>117</v>
      </c>
      <c r="B118" s="19">
        <v>43689</v>
      </c>
      <c r="C118" s="4" t="s">
        <v>28</v>
      </c>
      <c r="D118" s="4" t="s">
        <v>39</v>
      </c>
    </row>
    <row r="119" spans="1:4" x14ac:dyDescent="0.4">
      <c r="A119" s="4">
        <f t="shared" ca="1" si="2"/>
        <v>118</v>
      </c>
      <c r="B119" s="19">
        <v>43724</v>
      </c>
      <c r="C119" s="4" t="s">
        <v>28</v>
      </c>
      <c r="D119" s="4" t="s">
        <v>41</v>
      </c>
    </row>
    <row r="120" spans="1:4" x14ac:dyDescent="0.4">
      <c r="A120" s="4">
        <f t="shared" ca="1" si="2"/>
        <v>119</v>
      </c>
      <c r="B120" s="19">
        <v>43731</v>
      </c>
      <c r="C120" s="4" t="s">
        <v>28</v>
      </c>
      <c r="D120" s="4" t="s">
        <v>42</v>
      </c>
    </row>
    <row r="121" spans="1:4" x14ac:dyDescent="0.4">
      <c r="A121" s="4">
        <f t="shared" ca="1" si="2"/>
        <v>120</v>
      </c>
      <c r="B121" s="19">
        <v>43752</v>
      </c>
      <c r="C121" s="4" t="s">
        <v>28</v>
      </c>
      <c r="D121" s="4" t="s">
        <v>43</v>
      </c>
    </row>
    <row r="122" spans="1:4" x14ac:dyDescent="0.4">
      <c r="A122" s="4">
        <f t="shared" ca="1" si="2"/>
        <v>121</v>
      </c>
      <c r="B122" s="19">
        <v>43772</v>
      </c>
      <c r="C122" s="4" t="s">
        <v>38</v>
      </c>
      <c r="D122" s="4" t="s">
        <v>44</v>
      </c>
    </row>
    <row r="123" spans="1:4" x14ac:dyDescent="0.4">
      <c r="A123" s="4">
        <f t="shared" ca="1" si="2"/>
        <v>122</v>
      </c>
      <c r="B123" s="19">
        <v>43773</v>
      </c>
      <c r="C123" s="4" t="s">
        <v>28</v>
      </c>
      <c r="D123" s="4" t="s">
        <v>39</v>
      </c>
    </row>
    <row r="124" spans="1:4" x14ac:dyDescent="0.4">
      <c r="A124" s="4">
        <f t="shared" ca="1" si="2"/>
        <v>123</v>
      </c>
      <c r="B124" s="19">
        <v>43792</v>
      </c>
      <c r="C124" s="4" t="s">
        <v>36</v>
      </c>
      <c r="D124" s="4" t="s">
        <v>45</v>
      </c>
    </row>
    <row r="125" spans="1:4" x14ac:dyDescent="0.4">
      <c r="A125" s="4">
        <f t="shared" ca="1" si="2"/>
        <v>124</v>
      </c>
      <c r="B125" s="19">
        <v>43822</v>
      </c>
      <c r="C125" s="4" t="s">
        <v>28</v>
      </c>
      <c r="D125" s="4" t="s">
        <v>46</v>
      </c>
    </row>
    <row r="126" spans="1:4" x14ac:dyDescent="0.4">
      <c r="A126" s="4">
        <f t="shared" ca="1" si="2"/>
        <v>125</v>
      </c>
      <c r="B126" s="19">
        <v>43831</v>
      </c>
      <c r="C126" s="4" t="s">
        <v>31</v>
      </c>
      <c r="D126" s="4" t="s">
        <v>25</v>
      </c>
    </row>
    <row r="127" spans="1:4" x14ac:dyDescent="0.4">
      <c r="A127" s="4">
        <f t="shared" ca="1" si="2"/>
        <v>126</v>
      </c>
      <c r="B127" s="19">
        <v>43843</v>
      </c>
      <c r="C127" s="4" t="s">
        <v>28</v>
      </c>
      <c r="D127" s="4" t="s">
        <v>27</v>
      </c>
    </row>
    <row r="128" spans="1:4" x14ac:dyDescent="0.4">
      <c r="A128" s="4">
        <f t="shared" ca="1" si="2"/>
        <v>127</v>
      </c>
      <c r="B128" s="19">
        <v>43872</v>
      </c>
      <c r="C128" s="4" t="s">
        <v>26</v>
      </c>
      <c r="D128" s="4" t="s">
        <v>29</v>
      </c>
    </row>
    <row r="129" spans="1:4" x14ac:dyDescent="0.4">
      <c r="A129" s="4">
        <f t="shared" ca="1" si="2"/>
        <v>128</v>
      </c>
      <c r="B129" s="19">
        <v>43910</v>
      </c>
      <c r="C129" s="4" t="s">
        <v>34</v>
      </c>
      <c r="D129" s="4" t="s">
        <v>30</v>
      </c>
    </row>
    <row r="130" spans="1:4" x14ac:dyDescent="0.4">
      <c r="A130" s="4">
        <f t="shared" ca="1" si="2"/>
        <v>129</v>
      </c>
      <c r="B130" s="19">
        <v>43950</v>
      </c>
      <c r="C130" s="4" t="s">
        <v>31</v>
      </c>
      <c r="D130" s="4" t="s">
        <v>32</v>
      </c>
    </row>
    <row r="131" spans="1:4" x14ac:dyDescent="0.4">
      <c r="A131" s="4">
        <f t="shared" ca="1" si="2"/>
        <v>130</v>
      </c>
      <c r="B131" s="19">
        <v>43954</v>
      </c>
      <c r="C131" s="4" t="s">
        <v>38</v>
      </c>
      <c r="D131" s="4" t="s">
        <v>33</v>
      </c>
    </row>
    <row r="132" spans="1:4" x14ac:dyDescent="0.4">
      <c r="A132" s="4">
        <f t="shared" ca="1" si="2"/>
        <v>131</v>
      </c>
      <c r="B132" s="19">
        <v>43955</v>
      </c>
      <c r="C132" s="4" t="s">
        <v>28</v>
      </c>
      <c r="D132" s="4" t="s">
        <v>35</v>
      </c>
    </row>
    <row r="133" spans="1:4" x14ac:dyDescent="0.4">
      <c r="A133" s="4">
        <f t="shared" ca="1" si="2"/>
        <v>132</v>
      </c>
      <c r="B133" s="19">
        <v>43956</v>
      </c>
      <c r="C133" s="4" t="s">
        <v>26</v>
      </c>
      <c r="D133" s="4" t="s">
        <v>37</v>
      </c>
    </row>
    <row r="134" spans="1:4" x14ac:dyDescent="0.4">
      <c r="A134" s="4">
        <f t="shared" ca="1" si="2"/>
        <v>133</v>
      </c>
      <c r="B134" s="19">
        <v>43957</v>
      </c>
      <c r="C134" s="4" t="s">
        <v>31</v>
      </c>
      <c r="D134" s="4" t="s">
        <v>39</v>
      </c>
    </row>
    <row r="135" spans="1:4" x14ac:dyDescent="0.4">
      <c r="A135" s="4">
        <f t="shared" ca="1" si="2"/>
        <v>134</v>
      </c>
      <c r="B135" s="19">
        <v>44032</v>
      </c>
      <c r="C135" s="4" t="s">
        <v>28</v>
      </c>
      <c r="D135" s="4" t="s">
        <v>40</v>
      </c>
    </row>
    <row r="136" spans="1:4" x14ac:dyDescent="0.4">
      <c r="A136" s="4">
        <f t="shared" ca="1" si="2"/>
        <v>135</v>
      </c>
      <c r="B136" s="19">
        <v>44054</v>
      </c>
      <c r="C136" s="4" t="s">
        <v>26</v>
      </c>
      <c r="D136" s="4" t="s">
        <v>49</v>
      </c>
    </row>
    <row r="137" spans="1:4" x14ac:dyDescent="0.4">
      <c r="A137" s="4">
        <f t="shared" ca="1" si="2"/>
        <v>136</v>
      </c>
      <c r="B137" s="19">
        <v>44095</v>
      </c>
      <c r="C137" s="4" t="s">
        <v>28</v>
      </c>
      <c r="D137" s="4" t="s">
        <v>41</v>
      </c>
    </row>
    <row r="138" spans="1:4" x14ac:dyDescent="0.4">
      <c r="A138" s="4">
        <f t="shared" ca="1" si="2"/>
        <v>137</v>
      </c>
      <c r="B138" s="19">
        <v>44096</v>
      </c>
      <c r="C138" s="4" t="s">
        <v>26</v>
      </c>
      <c r="D138" s="4" t="s">
        <v>42</v>
      </c>
    </row>
    <row r="139" spans="1:4" x14ac:dyDescent="0.4">
      <c r="A139" s="4">
        <f t="shared" ca="1" si="2"/>
        <v>138</v>
      </c>
      <c r="B139" s="19">
        <v>44116</v>
      </c>
      <c r="C139" s="4" t="s">
        <v>28</v>
      </c>
      <c r="D139" s="4" t="s">
        <v>43</v>
      </c>
    </row>
    <row r="140" spans="1:4" x14ac:dyDescent="0.4">
      <c r="A140" s="4">
        <f t="shared" ref="A140:A203" ca="1" si="3">INDIRECT(ADDRESS(ROW()-1,COLUMN()),TRUE)+1</f>
        <v>139</v>
      </c>
      <c r="B140" s="19">
        <v>44138</v>
      </c>
      <c r="C140" s="4" t="s">
        <v>26</v>
      </c>
      <c r="D140" s="4" t="s">
        <v>44</v>
      </c>
    </row>
    <row r="141" spans="1:4" x14ac:dyDescent="0.4">
      <c r="A141" s="4">
        <f t="shared" ca="1" si="3"/>
        <v>140</v>
      </c>
      <c r="B141" s="19">
        <v>44158</v>
      </c>
      <c r="C141" s="4" t="s">
        <v>28</v>
      </c>
      <c r="D141" s="4" t="s">
        <v>45</v>
      </c>
    </row>
    <row r="142" spans="1:4" x14ac:dyDescent="0.4">
      <c r="A142" s="4">
        <f t="shared" ca="1" si="3"/>
        <v>141</v>
      </c>
      <c r="B142" s="19">
        <v>44188</v>
      </c>
      <c r="C142" s="4" t="s">
        <v>31</v>
      </c>
      <c r="D142" s="4" t="s">
        <v>46</v>
      </c>
    </row>
    <row r="143" spans="1:4" x14ac:dyDescent="0.4">
      <c r="A143" s="4">
        <f t="shared" ca="1" si="3"/>
        <v>142</v>
      </c>
      <c r="B143" s="19">
        <v>44197</v>
      </c>
      <c r="C143" s="4" t="s">
        <v>34</v>
      </c>
      <c r="D143" s="4" t="s">
        <v>25</v>
      </c>
    </row>
    <row r="144" spans="1:4" x14ac:dyDescent="0.4">
      <c r="A144" s="4">
        <f t="shared" ca="1" si="3"/>
        <v>143</v>
      </c>
      <c r="B144" s="19">
        <v>44207</v>
      </c>
      <c r="C144" s="4" t="s">
        <v>28</v>
      </c>
      <c r="D144" s="4" t="s">
        <v>27</v>
      </c>
    </row>
    <row r="145" spans="1:4" x14ac:dyDescent="0.4">
      <c r="A145" s="4">
        <f t="shared" ca="1" si="3"/>
        <v>144</v>
      </c>
      <c r="B145" s="19">
        <v>44238</v>
      </c>
      <c r="C145" s="4" t="s">
        <v>47</v>
      </c>
      <c r="D145" s="4" t="s">
        <v>29</v>
      </c>
    </row>
    <row r="146" spans="1:4" x14ac:dyDescent="0.4">
      <c r="A146" s="4">
        <f t="shared" ca="1" si="3"/>
        <v>145</v>
      </c>
      <c r="B146" s="19">
        <v>44275</v>
      </c>
      <c r="C146" s="4" t="s">
        <v>36</v>
      </c>
      <c r="D146" s="4" t="s">
        <v>30</v>
      </c>
    </row>
    <row r="147" spans="1:4" x14ac:dyDescent="0.4">
      <c r="A147" s="4">
        <f t="shared" ca="1" si="3"/>
        <v>146</v>
      </c>
      <c r="B147" s="19">
        <v>44315</v>
      </c>
      <c r="C147" s="4" t="s">
        <v>47</v>
      </c>
      <c r="D147" s="4" t="s">
        <v>32</v>
      </c>
    </row>
    <row r="148" spans="1:4" x14ac:dyDescent="0.4">
      <c r="A148" s="4">
        <f t="shared" ca="1" si="3"/>
        <v>147</v>
      </c>
      <c r="B148" s="19">
        <v>44319</v>
      </c>
      <c r="C148" s="4" t="s">
        <v>28</v>
      </c>
      <c r="D148" s="4" t="s">
        <v>33</v>
      </c>
    </row>
    <row r="149" spans="1:4" x14ac:dyDescent="0.4">
      <c r="A149" s="4">
        <f t="shared" ca="1" si="3"/>
        <v>148</v>
      </c>
      <c r="B149" s="19">
        <v>44320</v>
      </c>
      <c r="C149" s="4" t="s">
        <v>26</v>
      </c>
      <c r="D149" s="4" t="s">
        <v>35</v>
      </c>
    </row>
    <row r="150" spans="1:4" x14ac:dyDescent="0.4">
      <c r="A150" s="4">
        <f t="shared" ca="1" si="3"/>
        <v>149</v>
      </c>
      <c r="B150" s="19">
        <v>44321</v>
      </c>
      <c r="C150" s="4" t="s">
        <v>31</v>
      </c>
      <c r="D150" s="4" t="s">
        <v>37</v>
      </c>
    </row>
    <row r="151" spans="1:4" x14ac:dyDescent="0.4">
      <c r="A151" s="4">
        <f t="shared" ca="1" si="3"/>
        <v>150</v>
      </c>
      <c r="B151" s="19">
        <v>44396</v>
      </c>
      <c r="C151" s="4" t="s">
        <v>28</v>
      </c>
      <c r="D151" s="4" t="s">
        <v>40</v>
      </c>
    </row>
    <row r="152" spans="1:4" x14ac:dyDescent="0.4">
      <c r="A152" s="4">
        <f t="shared" ca="1" si="3"/>
        <v>151</v>
      </c>
      <c r="B152" s="19">
        <v>44419</v>
      </c>
      <c r="C152" s="4" t="s">
        <v>31</v>
      </c>
      <c r="D152" s="4" t="s">
        <v>49</v>
      </c>
    </row>
    <row r="153" spans="1:4" x14ac:dyDescent="0.4">
      <c r="A153" s="4">
        <f t="shared" ca="1" si="3"/>
        <v>152</v>
      </c>
      <c r="B153" s="19">
        <v>44459</v>
      </c>
      <c r="C153" s="4" t="s">
        <v>28</v>
      </c>
      <c r="D153" s="4" t="s">
        <v>41</v>
      </c>
    </row>
    <row r="154" spans="1:4" x14ac:dyDescent="0.4">
      <c r="A154" s="4">
        <f t="shared" ca="1" si="3"/>
        <v>153</v>
      </c>
      <c r="B154" s="19">
        <v>44462</v>
      </c>
      <c r="C154" s="4" t="s">
        <v>47</v>
      </c>
      <c r="D154" s="4" t="s">
        <v>42</v>
      </c>
    </row>
    <row r="155" spans="1:4" x14ac:dyDescent="0.4">
      <c r="A155" s="4">
        <f t="shared" ca="1" si="3"/>
        <v>154</v>
      </c>
      <c r="B155" s="19">
        <v>44480</v>
      </c>
      <c r="C155" s="4" t="s">
        <v>28</v>
      </c>
      <c r="D155" s="4" t="s">
        <v>43</v>
      </c>
    </row>
    <row r="156" spans="1:4" x14ac:dyDescent="0.4">
      <c r="A156" s="4">
        <f t="shared" ca="1" si="3"/>
        <v>155</v>
      </c>
      <c r="B156" s="19">
        <v>44503</v>
      </c>
      <c r="C156" s="4" t="s">
        <v>31</v>
      </c>
      <c r="D156" s="4" t="s">
        <v>44</v>
      </c>
    </row>
    <row r="157" spans="1:4" x14ac:dyDescent="0.4">
      <c r="A157" s="4">
        <f t="shared" ca="1" si="3"/>
        <v>156</v>
      </c>
      <c r="B157" s="19">
        <v>44523</v>
      </c>
      <c r="C157" s="4" t="s">
        <v>26</v>
      </c>
      <c r="D157" s="4" t="s">
        <v>45</v>
      </c>
    </row>
    <row r="158" spans="1:4" x14ac:dyDescent="0.4">
      <c r="A158" s="4">
        <f t="shared" ca="1" si="3"/>
        <v>157</v>
      </c>
      <c r="B158" s="19">
        <v>44553</v>
      </c>
      <c r="C158" s="4" t="s">
        <v>47</v>
      </c>
      <c r="D158" s="4" t="s">
        <v>46</v>
      </c>
    </row>
    <row r="159" spans="1:4" x14ac:dyDescent="0.4">
      <c r="A159" s="4">
        <f t="shared" ca="1" si="3"/>
        <v>158</v>
      </c>
      <c r="B159" s="19">
        <v>44562</v>
      </c>
      <c r="C159" s="4" t="s">
        <v>36</v>
      </c>
      <c r="D159" s="4" t="s">
        <v>25</v>
      </c>
    </row>
    <row r="160" spans="1:4" x14ac:dyDescent="0.4">
      <c r="A160" s="4">
        <f t="shared" ca="1" si="3"/>
        <v>159</v>
      </c>
      <c r="B160" s="19">
        <v>44571</v>
      </c>
      <c r="C160" s="4" t="s">
        <v>28</v>
      </c>
      <c r="D160" s="4" t="s">
        <v>27</v>
      </c>
    </row>
    <row r="161" spans="1:4" x14ac:dyDescent="0.4">
      <c r="A161" s="4">
        <f t="shared" ca="1" si="3"/>
        <v>160</v>
      </c>
      <c r="B161" s="19">
        <v>44603</v>
      </c>
      <c r="C161" s="4" t="s">
        <v>34</v>
      </c>
      <c r="D161" s="4" t="s">
        <v>29</v>
      </c>
    </row>
    <row r="162" spans="1:4" x14ac:dyDescent="0.4">
      <c r="A162" s="4">
        <f t="shared" ca="1" si="3"/>
        <v>161</v>
      </c>
      <c r="B162" s="19">
        <v>44641</v>
      </c>
      <c r="C162" s="4" t="s">
        <v>28</v>
      </c>
      <c r="D162" s="4" t="s">
        <v>30</v>
      </c>
    </row>
    <row r="163" spans="1:4" x14ac:dyDescent="0.4">
      <c r="A163" s="4">
        <f t="shared" ca="1" si="3"/>
        <v>162</v>
      </c>
      <c r="B163" s="19">
        <v>44680</v>
      </c>
      <c r="C163" s="4" t="s">
        <v>34</v>
      </c>
      <c r="D163" s="4" t="s">
        <v>32</v>
      </c>
    </row>
    <row r="164" spans="1:4" x14ac:dyDescent="0.4">
      <c r="A164" s="4">
        <f t="shared" ca="1" si="3"/>
        <v>163</v>
      </c>
      <c r="B164" s="19">
        <v>44684</v>
      </c>
      <c r="C164" s="4" t="s">
        <v>26</v>
      </c>
      <c r="D164" s="4" t="s">
        <v>33</v>
      </c>
    </row>
    <row r="165" spans="1:4" x14ac:dyDescent="0.4">
      <c r="A165" s="4">
        <f t="shared" ca="1" si="3"/>
        <v>164</v>
      </c>
      <c r="B165" s="19">
        <v>44685</v>
      </c>
      <c r="C165" s="4" t="s">
        <v>31</v>
      </c>
      <c r="D165" s="4" t="s">
        <v>35</v>
      </c>
    </row>
    <row r="166" spans="1:4" x14ac:dyDescent="0.4">
      <c r="A166" s="4">
        <f t="shared" ca="1" si="3"/>
        <v>165</v>
      </c>
      <c r="B166" s="19">
        <v>44686</v>
      </c>
      <c r="C166" s="4" t="s">
        <v>47</v>
      </c>
      <c r="D166" s="4" t="s">
        <v>37</v>
      </c>
    </row>
    <row r="167" spans="1:4" x14ac:dyDescent="0.4">
      <c r="A167" s="4">
        <f t="shared" ca="1" si="3"/>
        <v>166</v>
      </c>
      <c r="B167" s="19">
        <v>44760</v>
      </c>
      <c r="C167" s="4" t="s">
        <v>28</v>
      </c>
      <c r="D167" s="4" t="s">
        <v>40</v>
      </c>
    </row>
    <row r="168" spans="1:4" x14ac:dyDescent="0.4">
      <c r="A168" s="4">
        <f t="shared" ca="1" si="3"/>
        <v>167</v>
      </c>
      <c r="B168" s="19">
        <v>44784</v>
      </c>
      <c r="C168" s="4" t="s">
        <v>47</v>
      </c>
      <c r="D168" s="4" t="s">
        <v>49</v>
      </c>
    </row>
    <row r="169" spans="1:4" x14ac:dyDescent="0.4">
      <c r="A169" s="4">
        <f t="shared" ca="1" si="3"/>
        <v>168</v>
      </c>
      <c r="B169" s="19">
        <v>44823</v>
      </c>
      <c r="C169" s="4" t="s">
        <v>28</v>
      </c>
      <c r="D169" s="4" t="s">
        <v>41</v>
      </c>
    </row>
    <row r="170" spans="1:4" x14ac:dyDescent="0.4">
      <c r="A170" s="4">
        <f t="shared" ca="1" si="3"/>
        <v>169</v>
      </c>
      <c r="B170" s="19">
        <v>44827</v>
      </c>
      <c r="C170" s="4" t="s">
        <v>34</v>
      </c>
      <c r="D170" s="4" t="s">
        <v>42</v>
      </c>
    </row>
    <row r="171" spans="1:4" x14ac:dyDescent="0.4">
      <c r="A171" s="4">
        <f t="shared" ca="1" si="3"/>
        <v>170</v>
      </c>
      <c r="B171" s="19">
        <v>44844</v>
      </c>
      <c r="C171" s="4" t="s">
        <v>28</v>
      </c>
      <c r="D171" s="4" t="s">
        <v>43</v>
      </c>
    </row>
    <row r="172" spans="1:4" x14ac:dyDescent="0.4">
      <c r="A172" s="4">
        <f t="shared" ca="1" si="3"/>
        <v>171</v>
      </c>
      <c r="B172" s="19">
        <v>44868</v>
      </c>
      <c r="C172" s="4" t="s">
        <v>47</v>
      </c>
      <c r="D172" s="4" t="s">
        <v>44</v>
      </c>
    </row>
    <row r="173" spans="1:4" x14ac:dyDescent="0.4">
      <c r="A173" s="4">
        <f t="shared" ca="1" si="3"/>
        <v>172</v>
      </c>
      <c r="B173" s="19">
        <v>44888</v>
      </c>
      <c r="C173" s="4" t="s">
        <v>31</v>
      </c>
      <c r="D173" s="4" t="s">
        <v>45</v>
      </c>
    </row>
    <row r="174" spans="1:4" x14ac:dyDescent="0.4">
      <c r="A174" s="4">
        <f t="shared" ca="1" si="3"/>
        <v>173</v>
      </c>
      <c r="B174" s="19">
        <v>44918</v>
      </c>
      <c r="C174" s="4" t="s">
        <v>34</v>
      </c>
      <c r="D174" s="4" t="s">
        <v>46</v>
      </c>
    </row>
    <row r="175" spans="1:4" x14ac:dyDescent="0.4">
      <c r="A175" s="4">
        <f t="shared" ca="1" si="3"/>
        <v>174</v>
      </c>
      <c r="B175" s="19">
        <v>44927</v>
      </c>
      <c r="C175" s="4" t="s">
        <v>38</v>
      </c>
      <c r="D175" s="4" t="s">
        <v>25</v>
      </c>
    </row>
    <row r="176" spans="1:4" x14ac:dyDescent="0.4">
      <c r="A176" s="4">
        <f t="shared" ca="1" si="3"/>
        <v>175</v>
      </c>
      <c r="B176" s="19">
        <v>44928</v>
      </c>
      <c r="C176" s="4" t="s">
        <v>28</v>
      </c>
      <c r="D176" s="4" t="s">
        <v>39</v>
      </c>
    </row>
    <row r="177" spans="1:4" x14ac:dyDescent="0.4">
      <c r="A177" s="4">
        <f t="shared" ca="1" si="3"/>
        <v>176</v>
      </c>
      <c r="B177" s="19">
        <v>44935</v>
      </c>
      <c r="C177" s="4" t="s">
        <v>28</v>
      </c>
      <c r="D177" s="4" t="s">
        <v>27</v>
      </c>
    </row>
    <row r="178" spans="1:4" x14ac:dyDescent="0.4">
      <c r="A178" s="4">
        <f t="shared" ca="1" si="3"/>
        <v>177</v>
      </c>
      <c r="B178" s="19">
        <v>44968</v>
      </c>
      <c r="C178" s="4" t="s">
        <v>36</v>
      </c>
      <c r="D178" s="4" t="s">
        <v>29</v>
      </c>
    </row>
    <row r="179" spans="1:4" x14ac:dyDescent="0.4">
      <c r="A179" s="4">
        <f t="shared" ca="1" si="3"/>
        <v>178</v>
      </c>
      <c r="B179" s="19">
        <v>45006</v>
      </c>
      <c r="C179" s="4" t="s">
        <v>26</v>
      </c>
      <c r="D179" s="4" t="s">
        <v>30</v>
      </c>
    </row>
    <row r="180" spans="1:4" x14ac:dyDescent="0.4">
      <c r="A180" s="4">
        <f t="shared" ca="1" si="3"/>
        <v>179</v>
      </c>
      <c r="B180" s="19">
        <v>45045</v>
      </c>
      <c r="C180" s="4" t="s">
        <v>36</v>
      </c>
      <c r="D180" s="4" t="s">
        <v>32</v>
      </c>
    </row>
    <row r="181" spans="1:4" x14ac:dyDescent="0.4">
      <c r="A181" s="4">
        <f t="shared" ca="1" si="3"/>
        <v>180</v>
      </c>
      <c r="B181" s="19">
        <v>45049</v>
      </c>
      <c r="C181" s="4" t="s">
        <v>31</v>
      </c>
      <c r="D181" s="4" t="s">
        <v>33</v>
      </c>
    </row>
    <row r="182" spans="1:4" x14ac:dyDescent="0.4">
      <c r="A182" s="4">
        <f t="shared" ca="1" si="3"/>
        <v>181</v>
      </c>
      <c r="B182" s="19">
        <v>45050</v>
      </c>
      <c r="C182" s="4" t="s">
        <v>47</v>
      </c>
      <c r="D182" s="4" t="s">
        <v>35</v>
      </c>
    </row>
    <row r="183" spans="1:4" x14ac:dyDescent="0.4">
      <c r="A183" s="4">
        <f t="shared" ca="1" si="3"/>
        <v>182</v>
      </c>
      <c r="B183" s="19">
        <v>45051</v>
      </c>
      <c r="C183" s="4" t="s">
        <v>34</v>
      </c>
      <c r="D183" s="4" t="s">
        <v>37</v>
      </c>
    </row>
    <row r="184" spans="1:4" x14ac:dyDescent="0.4">
      <c r="A184" s="4">
        <f t="shared" ca="1" si="3"/>
        <v>183</v>
      </c>
      <c r="B184" s="19">
        <v>45124</v>
      </c>
      <c r="C184" s="4" t="s">
        <v>28</v>
      </c>
      <c r="D184" s="4" t="s">
        <v>40</v>
      </c>
    </row>
    <row r="185" spans="1:4" x14ac:dyDescent="0.4">
      <c r="A185" s="4">
        <f t="shared" ca="1" si="3"/>
        <v>184</v>
      </c>
      <c r="B185" s="19">
        <v>45149</v>
      </c>
      <c r="C185" s="4" t="s">
        <v>34</v>
      </c>
      <c r="D185" s="4" t="s">
        <v>49</v>
      </c>
    </row>
    <row r="186" spans="1:4" x14ac:dyDescent="0.4">
      <c r="A186" s="4">
        <f t="shared" ca="1" si="3"/>
        <v>185</v>
      </c>
      <c r="B186" s="19">
        <v>45187</v>
      </c>
      <c r="C186" s="4" t="s">
        <v>28</v>
      </c>
      <c r="D186" s="4" t="s">
        <v>41</v>
      </c>
    </row>
    <row r="187" spans="1:4" x14ac:dyDescent="0.4">
      <c r="A187" s="4">
        <f t="shared" ca="1" si="3"/>
        <v>186</v>
      </c>
      <c r="B187" s="19">
        <v>45192</v>
      </c>
      <c r="C187" s="4" t="s">
        <v>36</v>
      </c>
      <c r="D187" s="4" t="s">
        <v>42</v>
      </c>
    </row>
    <row r="188" spans="1:4" x14ac:dyDescent="0.4">
      <c r="A188" s="4">
        <f t="shared" ca="1" si="3"/>
        <v>187</v>
      </c>
      <c r="B188" s="19">
        <v>45208</v>
      </c>
      <c r="C188" s="4" t="s">
        <v>28</v>
      </c>
      <c r="D188" s="4" t="s">
        <v>43</v>
      </c>
    </row>
    <row r="189" spans="1:4" x14ac:dyDescent="0.4">
      <c r="A189" s="4">
        <f t="shared" ca="1" si="3"/>
        <v>188</v>
      </c>
      <c r="B189" s="19">
        <v>45233</v>
      </c>
      <c r="C189" s="4" t="s">
        <v>34</v>
      </c>
      <c r="D189" s="4" t="s">
        <v>44</v>
      </c>
    </row>
    <row r="190" spans="1:4" x14ac:dyDescent="0.4">
      <c r="A190" s="4">
        <f t="shared" ca="1" si="3"/>
        <v>189</v>
      </c>
      <c r="B190" s="19">
        <v>45253</v>
      </c>
      <c r="C190" s="4" t="s">
        <v>47</v>
      </c>
      <c r="D190" s="4" t="s">
        <v>45</v>
      </c>
    </row>
    <row r="191" spans="1:4" x14ac:dyDescent="0.4">
      <c r="A191" s="4">
        <f t="shared" ca="1" si="3"/>
        <v>190</v>
      </c>
      <c r="B191" s="19">
        <v>45283</v>
      </c>
      <c r="C191" s="4" t="s">
        <v>36</v>
      </c>
      <c r="D191" s="4" t="s">
        <v>46</v>
      </c>
    </row>
    <row r="192" spans="1:4" x14ac:dyDescent="0.4">
      <c r="A192" s="4">
        <f t="shared" ca="1" si="3"/>
        <v>191</v>
      </c>
      <c r="B192" s="19">
        <v>45292</v>
      </c>
      <c r="C192" s="4" t="s">
        <v>28</v>
      </c>
      <c r="D192" s="4" t="s">
        <v>25</v>
      </c>
    </row>
    <row r="193" spans="1:4" x14ac:dyDescent="0.4">
      <c r="A193" s="4">
        <f t="shared" ca="1" si="3"/>
        <v>192</v>
      </c>
      <c r="B193" s="19">
        <v>45299</v>
      </c>
      <c r="C193" s="4" t="s">
        <v>28</v>
      </c>
      <c r="D193" s="4" t="s">
        <v>27</v>
      </c>
    </row>
    <row r="194" spans="1:4" x14ac:dyDescent="0.4">
      <c r="A194" s="4">
        <f t="shared" ca="1" si="3"/>
        <v>193</v>
      </c>
      <c r="B194" s="19">
        <v>45333</v>
      </c>
      <c r="C194" s="4" t="s">
        <v>38</v>
      </c>
      <c r="D194" s="4" t="s">
        <v>29</v>
      </c>
    </row>
    <row r="195" spans="1:4" x14ac:dyDescent="0.4">
      <c r="A195" s="4">
        <f t="shared" ca="1" si="3"/>
        <v>194</v>
      </c>
      <c r="B195" s="19">
        <v>45334</v>
      </c>
      <c r="C195" s="4" t="s">
        <v>28</v>
      </c>
      <c r="D195" s="4" t="s">
        <v>39</v>
      </c>
    </row>
    <row r="196" spans="1:4" x14ac:dyDescent="0.4">
      <c r="A196" s="4">
        <f t="shared" ca="1" si="3"/>
        <v>195</v>
      </c>
      <c r="B196" s="19">
        <v>45371</v>
      </c>
      <c r="C196" s="4" t="s">
        <v>31</v>
      </c>
      <c r="D196" s="4" t="s">
        <v>30</v>
      </c>
    </row>
    <row r="197" spans="1:4" x14ac:dyDescent="0.4">
      <c r="A197" s="4">
        <f t="shared" ca="1" si="3"/>
        <v>196</v>
      </c>
      <c r="B197" s="19">
        <v>45411</v>
      </c>
      <c r="C197" s="4" t="s">
        <v>28</v>
      </c>
      <c r="D197" s="4" t="s">
        <v>32</v>
      </c>
    </row>
    <row r="198" spans="1:4" x14ac:dyDescent="0.4">
      <c r="A198" s="4">
        <f t="shared" ca="1" si="3"/>
        <v>197</v>
      </c>
      <c r="B198" s="19">
        <v>45415</v>
      </c>
      <c r="C198" s="4" t="s">
        <v>34</v>
      </c>
      <c r="D198" s="4" t="s">
        <v>33</v>
      </c>
    </row>
    <row r="199" spans="1:4" x14ac:dyDescent="0.4">
      <c r="A199" s="4">
        <f t="shared" ca="1" si="3"/>
        <v>198</v>
      </c>
      <c r="B199" s="19">
        <v>45416</v>
      </c>
      <c r="C199" s="4" t="s">
        <v>36</v>
      </c>
      <c r="D199" s="4" t="s">
        <v>35</v>
      </c>
    </row>
    <row r="200" spans="1:4" x14ac:dyDescent="0.4">
      <c r="A200" s="4">
        <f t="shared" ca="1" si="3"/>
        <v>199</v>
      </c>
      <c r="B200" s="19">
        <v>45417</v>
      </c>
      <c r="C200" s="4" t="s">
        <v>38</v>
      </c>
      <c r="D200" s="4" t="s">
        <v>37</v>
      </c>
    </row>
    <row r="201" spans="1:4" x14ac:dyDescent="0.4">
      <c r="A201" s="4">
        <f t="shared" ca="1" si="3"/>
        <v>200</v>
      </c>
      <c r="B201" s="19">
        <v>45418</v>
      </c>
      <c r="C201" s="4" t="s">
        <v>28</v>
      </c>
      <c r="D201" s="4" t="s">
        <v>39</v>
      </c>
    </row>
    <row r="202" spans="1:4" x14ac:dyDescent="0.4">
      <c r="A202" s="4">
        <f t="shared" ca="1" si="3"/>
        <v>201</v>
      </c>
      <c r="B202" s="19">
        <v>45488</v>
      </c>
      <c r="C202" s="4" t="s">
        <v>28</v>
      </c>
      <c r="D202" s="4" t="s">
        <v>40</v>
      </c>
    </row>
    <row r="203" spans="1:4" x14ac:dyDescent="0.4">
      <c r="A203" s="4">
        <f t="shared" ca="1" si="3"/>
        <v>202</v>
      </c>
      <c r="B203" s="19">
        <v>45515</v>
      </c>
      <c r="C203" s="4" t="s">
        <v>38</v>
      </c>
      <c r="D203" s="4" t="s">
        <v>49</v>
      </c>
    </row>
    <row r="204" spans="1:4" x14ac:dyDescent="0.4">
      <c r="A204" s="4">
        <f t="shared" ref="A204:A267" ca="1" si="4">INDIRECT(ADDRESS(ROW()-1,COLUMN()),TRUE)+1</f>
        <v>203</v>
      </c>
      <c r="B204" s="19">
        <v>45516</v>
      </c>
      <c r="C204" s="4" t="s">
        <v>28</v>
      </c>
      <c r="D204" s="4" t="s">
        <v>39</v>
      </c>
    </row>
    <row r="205" spans="1:4" x14ac:dyDescent="0.4">
      <c r="A205" s="4">
        <f t="shared" ca="1" si="4"/>
        <v>204</v>
      </c>
      <c r="B205" s="19">
        <v>45551</v>
      </c>
      <c r="C205" s="4" t="s">
        <v>28</v>
      </c>
      <c r="D205" s="4" t="s">
        <v>41</v>
      </c>
    </row>
    <row r="206" spans="1:4" x14ac:dyDescent="0.4">
      <c r="A206" s="4">
        <f t="shared" ca="1" si="4"/>
        <v>205</v>
      </c>
      <c r="B206" s="19">
        <v>45557</v>
      </c>
      <c r="C206" s="4" t="s">
        <v>38</v>
      </c>
      <c r="D206" s="4" t="s">
        <v>42</v>
      </c>
    </row>
    <row r="207" spans="1:4" x14ac:dyDescent="0.4">
      <c r="A207" s="4">
        <f t="shared" ca="1" si="4"/>
        <v>206</v>
      </c>
      <c r="B207" s="19">
        <v>45558</v>
      </c>
      <c r="C207" s="4" t="s">
        <v>28</v>
      </c>
      <c r="D207" s="4" t="s">
        <v>39</v>
      </c>
    </row>
    <row r="208" spans="1:4" x14ac:dyDescent="0.4">
      <c r="A208" s="4">
        <f t="shared" ca="1" si="4"/>
        <v>207</v>
      </c>
      <c r="B208" s="19">
        <v>45579</v>
      </c>
      <c r="C208" s="4" t="s">
        <v>28</v>
      </c>
      <c r="D208" s="4" t="s">
        <v>43</v>
      </c>
    </row>
    <row r="209" spans="1:4" x14ac:dyDescent="0.4">
      <c r="A209" s="4">
        <f t="shared" ca="1" si="4"/>
        <v>208</v>
      </c>
      <c r="B209" s="19">
        <v>45599</v>
      </c>
      <c r="C209" s="4" t="s">
        <v>38</v>
      </c>
      <c r="D209" s="4" t="s">
        <v>44</v>
      </c>
    </row>
    <row r="210" spans="1:4" x14ac:dyDescent="0.4">
      <c r="A210" s="4">
        <f t="shared" ca="1" si="4"/>
        <v>209</v>
      </c>
      <c r="B210" s="19">
        <v>45600</v>
      </c>
      <c r="C210" s="4" t="s">
        <v>28</v>
      </c>
      <c r="D210" s="4" t="s">
        <v>39</v>
      </c>
    </row>
    <row r="211" spans="1:4" x14ac:dyDescent="0.4">
      <c r="A211" s="4">
        <f t="shared" ca="1" si="4"/>
        <v>210</v>
      </c>
      <c r="B211" s="19">
        <v>45619</v>
      </c>
      <c r="C211" s="4" t="s">
        <v>36</v>
      </c>
      <c r="D211" s="4" t="s">
        <v>45</v>
      </c>
    </row>
    <row r="212" spans="1:4" x14ac:dyDescent="0.4">
      <c r="A212" s="4">
        <f t="shared" ca="1" si="4"/>
        <v>211</v>
      </c>
      <c r="B212" s="19">
        <v>45649</v>
      </c>
      <c r="C212" s="4" t="s">
        <v>28</v>
      </c>
      <c r="D212" s="4" t="s">
        <v>46</v>
      </c>
    </row>
    <row r="213" spans="1:4" x14ac:dyDescent="0.4">
      <c r="A213" s="4">
        <f t="shared" ca="1" si="4"/>
        <v>212</v>
      </c>
      <c r="B213" s="19">
        <v>45658</v>
      </c>
      <c r="C213" s="4" t="s">
        <v>31</v>
      </c>
      <c r="D213" s="4" t="s">
        <v>25</v>
      </c>
    </row>
    <row r="214" spans="1:4" x14ac:dyDescent="0.4">
      <c r="A214" s="4">
        <f t="shared" ca="1" si="4"/>
        <v>213</v>
      </c>
      <c r="B214" s="19">
        <v>45670</v>
      </c>
      <c r="C214" s="4" t="s">
        <v>28</v>
      </c>
      <c r="D214" s="4" t="s">
        <v>27</v>
      </c>
    </row>
    <row r="215" spans="1:4" x14ac:dyDescent="0.4">
      <c r="A215" s="4">
        <f t="shared" ca="1" si="4"/>
        <v>214</v>
      </c>
      <c r="B215" s="19">
        <v>45699</v>
      </c>
      <c r="C215" s="4" t="s">
        <v>26</v>
      </c>
      <c r="D215" s="4" t="s">
        <v>29</v>
      </c>
    </row>
    <row r="216" spans="1:4" x14ac:dyDescent="0.4">
      <c r="A216" s="4">
        <f t="shared" ca="1" si="4"/>
        <v>215</v>
      </c>
      <c r="B216" s="19">
        <v>45736</v>
      </c>
      <c r="C216" s="4" t="s">
        <v>47</v>
      </c>
      <c r="D216" s="4" t="s">
        <v>30</v>
      </c>
    </row>
    <row r="217" spans="1:4" x14ac:dyDescent="0.4">
      <c r="A217" s="4">
        <f t="shared" ca="1" si="4"/>
        <v>216</v>
      </c>
      <c r="B217" s="19">
        <v>45776</v>
      </c>
      <c r="C217" s="4" t="s">
        <v>26</v>
      </c>
      <c r="D217" s="4" t="s">
        <v>32</v>
      </c>
    </row>
    <row r="218" spans="1:4" x14ac:dyDescent="0.4">
      <c r="A218" s="4">
        <f t="shared" ca="1" si="4"/>
        <v>217</v>
      </c>
      <c r="B218" s="19">
        <v>45780</v>
      </c>
      <c r="C218" s="4" t="s">
        <v>36</v>
      </c>
      <c r="D218" s="4" t="s">
        <v>33</v>
      </c>
    </row>
    <row r="219" spans="1:4" x14ac:dyDescent="0.4">
      <c r="A219" s="4">
        <f t="shared" ca="1" si="4"/>
        <v>218</v>
      </c>
      <c r="B219" s="19">
        <v>45781</v>
      </c>
      <c r="C219" s="4" t="s">
        <v>38</v>
      </c>
      <c r="D219" s="4" t="s">
        <v>35</v>
      </c>
    </row>
    <row r="220" spans="1:4" x14ac:dyDescent="0.4">
      <c r="A220" s="4">
        <f t="shared" ca="1" si="4"/>
        <v>219</v>
      </c>
      <c r="B220" s="19">
        <v>45782</v>
      </c>
      <c r="C220" s="4" t="s">
        <v>28</v>
      </c>
      <c r="D220" s="4" t="s">
        <v>37</v>
      </c>
    </row>
    <row r="221" spans="1:4" x14ac:dyDescent="0.4">
      <c r="A221" s="4">
        <f t="shared" ca="1" si="4"/>
        <v>220</v>
      </c>
      <c r="B221" s="19">
        <v>45783</v>
      </c>
      <c r="C221" s="4" t="s">
        <v>26</v>
      </c>
      <c r="D221" s="4" t="s">
        <v>39</v>
      </c>
    </row>
    <row r="222" spans="1:4" x14ac:dyDescent="0.4">
      <c r="A222" s="4">
        <f t="shared" ca="1" si="4"/>
        <v>221</v>
      </c>
      <c r="B222" s="19">
        <v>45859</v>
      </c>
      <c r="C222" s="4" t="s">
        <v>28</v>
      </c>
      <c r="D222" s="4" t="s">
        <v>40</v>
      </c>
    </row>
    <row r="223" spans="1:4" x14ac:dyDescent="0.4">
      <c r="A223" s="4">
        <f t="shared" ca="1" si="4"/>
        <v>222</v>
      </c>
      <c r="B223" s="19">
        <v>45880</v>
      </c>
      <c r="C223" s="4" t="s">
        <v>28</v>
      </c>
      <c r="D223" s="4" t="s">
        <v>49</v>
      </c>
    </row>
    <row r="224" spans="1:4" x14ac:dyDescent="0.4">
      <c r="A224" s="4">
        <f t="shared" ca="1" si="4"/>
        <v>223</v>
      </c>
      <c r="B224" s="19">
        <v>45915</v>
      </c>
      <c r="C224" s="4" t="s">
        <v>28</v>
      </c>
      <c r="D224" s="4" t="s">
        <v>41</v>
      </c>
    </row>
    <row r="225" spans="1:4" x14ac:dyDescent="0.4">
      <c r="A225" s="4">
        <f t="shared" ca="1" si="4"/>
        <v>224</v>
      </c>
      <c r="B225" s="19">
        <v>45923</v>
      </c>
      <c r="C225" s="4" t="s">
        <v>26</v>
      </c>
      <c r="D225" s="4" t="s">
        <v>42</v>
      </c>
    </row>
    <row r="226" spans="1:4" x14ac:dyDescent="0.4">
      <c r="A226" s="4">
        <f t="shared" ca="1" si="4"/>
        <v>225</v>
      </c>
      <c r="B226" s="19">
        <v>45943</v>
      </c>
      <c r="C226" s="4" t="s">
        <v>28</v>
      </c>
      <c r="D226" s="4" t="s">
        <v>43</v>
      </c>
    </row>
    <row r="227" spans="1:4" x14ac:dyDescent="0.4">
      <c r="A227" s="4">
        <f t="shared" ca="1" si="4"/>
        <v>226</v>
      </c>
      <c r="B227" s="19">
        <v>45964</v>
      </c>
      <c r="C227" s="4" t="s">
        <v>28</v>
      </c>
      <c r="D227" s="4" t="s">
        <v>44</v>
      </c>
    </row>
    <row r="228" spans="1:4" x14ac:dyDescent="0.4">
      <c r="A228" s="4">
        <f t="shared" ca="1" si="4"/>
        <v>227</v>
      </c>
      <c r="B228" s="19">
        <v>45984</v>
      </c>
      <c r="C228" s="4" t="s">
        <v>38</v>
      </c>
      <c r="D228" s="4" t="s">
        <v>45</v>
      </c>
    </row>
    <row r="229" spans="1:4" x14ac:dyDescent="0.4">
      <c r="A229" s="4">
        <f t="shared" ca="1" si="4"/>
        <v>228</v>
      </c>
      <c r="B229" s="19">
        <v>45985</v>
      </c>
      <c r="C229" s="4" t="s">
        <v>28</v>
      </c>
      <c r="D229" s="4" t="s">
        <v>39</v>
      </c>
    </row>
    <row r="230" spans="1:4" x14ac:dyDescent="0.4">
      <c r="A230" s="4">
        <f t="shared" ca="1" si="4"/>
        <v>229</v>
      </c>
      <c r="B230" s="19">
        <v>46014</v>
      </c>
      <c r="C230" s="4" t="s">
        <v>26</v>
      </c>
      <c r="D230" s="4" t="s">
        <v>46</v>
      </c>
    </row>
    <row r="231" spans="1:4" x14ac:dyDescent="0.4">
      <c r="A231" s="4">
        <f t="shared" ca="1" si="4"/>
        <v>230</v>
      </c>
      <c r="B231" s="19">
        <v>46023</v>
      </c>
      <c r="C231" s="4" t="s">
        <v>47</v>
      </c>
      <c r="D231" s="4" t="s">
        <v>25</v>
      </c>
    </row>
    <row r="232" spans="1:4" x14ac:dyDescent="0.4">
      <c r="A232" s="4">
        <f t="shared" ca="1" si="4"/>
        <v>231</v>
      </c>
      <c r="B232" s="19">
        <v>46034</v>
      </c>
      <c r="C232" s="4" t="s">
        <v>28</v>
      </c>
      <c r="D232" s="4" t="s">
        <v>27</v>
      </c>
    </row>
    <row r="233" spans="1:4" x14ac:dyDescent="0.4">
      <c r="A233" s="4">
        <f t="shared" ca="1" si="4"/>
        <v>232</v>
      </c>
      <c r="B233" s="19">
        <v>46064</v>
      </c>
      <c r="C233" s="4" t="s">
        <v>31</v>
      </c>
      <c r="D233" s="4" t="s">
        <v>29</v>
      </c>
    </row>
    <row r="234" spans="1:4" x14ac:dyDescent="0.4">
      <c r="A234" s="4">
        <f t="shared" ca="1" si="4"/>
        <v>233</v>
      </c>
      <c r="B234" s="19">
        <v>46101</v>
      </c>
      <c r="C234" s="4" t="s">
        <v>34</v>
      </c>
      <c r="D234" s="4" t="s">
        <v>30</v>
      </c>
    </row>
    <row r="235" spans="1:4" x14ac:dyDescent="0.4">
      <c r="A235" s="4">
        <f t="shared" ca="1" si="4"/>
        <v>234</v>
      </c>
      <c r="B235" s="19">
        <v>46141</v>
      </c>
      <c r="C235" s="4" t="s">
        <v>31</v>
      </c>
      <c r="D235" s="4" t="s">
        <v>32</v>
      </c>
    </row>
    <row r="236" spans="1:4" x14ac:dyDescent="0.4">
      <c r="A236" s="4">
        <f t="shared" ca="1" si="4"/>
        <v>235</v>
      </c>
      <c r="B236" s="19">
        <v>46145</v>
      </c>
      <c r="C236" s="4" t="s">
        <v>38</v>
      </c>
      <c r="D236" s="4" t="s">
        <v>33</v>
      </c>
    </row>
    <row r="237" spans="1:4" x14ac:dyDescent="0.4">
      <c r="A237" s="4">
        <f t="shared" ca="1" si="4"/>
        <v>236</v>
      </c>
      <c r="B237" s="19">
        <v>46146</v>
      </c>
      <c r="C237" s="4" t="s">
        <v>28</v>
      </c>
      <c r="D237" s="4" t="s">
        <v>35</v>
      </c>
    </row>
    <row r="238" spans="1:4" x14ac:dyDescent="0.4">
      <c r="A238" s="4">
        <f t="shared" ca="1" si="4"/>
        <v>237</v>
      </c>
      <c r="B238" s="19">
        <v>46147</v>
      </c>
      <c r="C238" s="4" t="s">
        <v>26</v>
      </c>
      <c r="D238" s="4" t="s">
        <v>37</v>
      </c>
    </row>
    <row r="239" spans="1:4" x14ac:dyDescent="0.4">
      <c r="A239" s="4">
        <f t="shared" ca="1" si="4"/>
        <v>238</v>
      </c>
      <c r="B239" s="19">
        <v>46148</v>
      </c>
      <c r="C239" s="4" t="s">
        <v>31</v>
      </c>
      <c r="D239" s="4" t="s">
        <v>39</v>
      </c>
    </row>
    <row r="240" spans="1:4" x14ac:dyDescent="0.4">
      <c r="A240" s="4">
        <f t="shared" ca="1" si="4"/>
        <v>239</v>
      </c>
      <c r="B240" s="19">
        <v>46223</v>
      </c>
      <c r="C240" s="4" t="s">
        <v>28</v>
      </c>
      <c r="D240" s="4" t="s">
        <v>40</v>
      </c>
    </row>
    <row r="241" spans="1:4" x14ac:dyDescent="0.4">
      <c r="A241" s="4">
        <f t="shared" ca="1" si="4"/>
        <v>240</v>
      </c>
      <c r="B241" s="19">
        <v>46245</v>
      </c>
      <c r="C241" s="4" t="s">
        <v>26</v>
      </c>
      <c r="D241" s="4" t="s">
        <v>49</v>
      </c>
    </row>
    <row r="242" spans="1:4" x14ac:dyDescent="0.4">
      <c r="A242" s="4">
        <f t="shared" ca="1" si="4"/>
        <v>241</v>
      </c>
      <c r="B242" s="19">
        <v>46286</v>
      </c>
      <c r="C242" s="4" t="s">
        <v>28</v>
      </c>
      <c r="D242" s="4" t="s">
        <v>41</v>
      </c>
    </row>
    <row r="243" spans="1:4" x14ac:dyDescent="0.4">
      <c r="A243" s="4">
        <f t="shared" ca="1" si="4"/>
        <v>242</v>
      </c>
      <c r="B243" s="19">
        <v>46287</v>
      </c>
      <c r="C243" s="4" t="s">
        <v>26</v>
      </c>
      <c r="D243" s="4" t="s">
        <v>48</v>
      </c>
    </row>
    <row r="244" spans="1:4" x14ac:dyDescent="0.4">
      <c r="A244" s="4">
        <f t="shared" ca="1" si="4"/>
        <v>243</v>
      </c>
      <c r="B244" s="19">
        <v>46288</v>
      </c>
      <c r="C244" s="4" t="s">
        <v>31</v>
      </c>
      <c r="D244" s="4" t="s">
        <v>42</v>
      </c>
    </row>
    <row r="245" spans="1:4" x14ac:dyDescent="0.4">
      <c r="A245" s="4">
        <f t="shared" ca="1" si="4"/>
        <v>244</v>
      </c>
      <c r="B245" s="19">
        <v>46307</v>
      </c>
      <c r="C245" s="4" t="s">
        <v>28</v>
      </c>
      <c r="D245" s="4" t="s">
        <v>43</v>
      </c>
    </row>
    <row r="246" spans="1:4" x14ac:dyDescent="0.4">
      <c r="A246" s="4">
        <f t="shared" ca="1" si="4"/>
        <v>245</v>
      </c>
      <c r="B246" s="19">
        <v>46329</v>
      </c>
      <c r="C246" s="4" t="s">
        <v>26</v>
      </c>
      <c r="D246" s="4" t="s">
        <v>44</v>
      </c>
    </row>
    <row r="247" spans="1:4" x14ac:dyDescent="0.4">
      <c r="A247" s="4">
        <f t="shared" ca="1" si="4"/>
        <v>246</v>
      </c>
      <c r="B247" s="19">
        <v>46349</v>
      </c>
      <c r="C247" s="4" t="s">
        <v>28</v>
      </c>
      <c r="D247" s="4" t="s">
        <v>45</v>
      </c>
    </row>
    <row r="248" spans="1:4" x14ac:dyDescent="0.4">
      <c r="A248" s="4">
        <f t="shared" ca="1" si="4"/>
        <v>247</v>
      </c>
      <c r="B248" s="19">
        <v>46379</v>
      </c>
      <c r="C248" s="4" t="s">
        <v>31</v>
      </c>
      <c r="D248" s="4" t="s">
        <v>46</v>
      </c>
    </row>
    <row r="249" spans="1:4" x14ac:dyDescent="0.4">
      <c r="A249" s="4">
        <f t="shared" ca="1" si="4"/>
        <v>248</v>
      </c>
      <c r="B249" s="19">
        <v>46388</v>
      </c>
      <c r="C249" s="4" t="s">
        <v>34</v>
      </c>
      <c r="D249" s="4" t="s">
        <v>25</v>
      </c>
    </row>
    <row r="250" spans="1:4" x14ac:dyDescent="0.4">
      <c r="A250" s="4">
        <f t="shared" ca="1" si="4"/>
        <v>249</v>
      </c>
      <c r="B250" s="19">
        <v>46398</v>
      </c>
      <c r="C250" s="4" t="s">
        <v>28</v>
      </c>
      <c r="D250" s="4" t="s">
        <v>27</v>
      </c>
    </row>
    <row r="251" spans="1:4" x14ac:dyDescent="0.4">
      <c r="A251" s="4">
        <f t="shared" ca="1" si="4"/>
        <v>250</v>
      </c>
      <c r="B251" s="19">
        <v>46429</v>
      </c>
      <c r="C251" s="4" t="s">
        <v>47</v>
      </c>
      <c r="D251" s="4" t="s">
        <v>29</v>
      </c>
    </row>
    <row r="252" spans="1:4" x14ac:dyDescent="0.4">
      <c r="A252" s="4">
        <f t="shared" ca="1" si="4"/>
        <v>251</v>
      </c>
      <c r="B252" s="19">
        <v>46467</v>
      </c>
      <c r="C252" s="4" t="s">
        <v>38</v>
      </c>
      <c r="D252" s="4" t="s">
        <v>30</v>
      </c>
    </row>
    <row r="253" spans="1:4" x14ac:dyDescent="0.4">
      <c r="A253" s="4">
        <f t="shared" ca="1" si="4"/>
        <v>252</v>
      </c>
      <c r="B253" s="19">
        <v>46468</v>
      </c>
      <c r="C253" s="4" t="s">
        <v>28</v>
      </c>
      <c r="D253" s="4" t="s">
        <v>39</v>
      </c>
    </row>
    <row r="254" spans="1:4" x14ac:dyDescent="0.4">
      <c r="A254" s="4">
        <f t="shared" ca="1" si="4"/>
        <v>253</v>
      </c>
      <c r="B254" s="19">
        <v>46506</v>
      </c>
      <c r="C254" s="4" t="s">
        <v>47</v>
      </c>
      <c r="D254" s="4" t="s">
        <v>32</v>
      </c>
    </row>
    <row r="255" spans="1:4" x14ac:dyDescent="0.4">
      <c r="A255" s="4">
        <f t="shared" ca="1" si="4"/>
        <v>254</v>
      </c>
      <c r="B255" s="19">
        <v>46510</v>
      </c>
      <c r="C255" s="4" t="s">
        <v>28</v>
      </c>
      <c r="D255" s="4" t="s">
        <v>33</v>
      </c>
    </row>
    <row r="256" spans="1:4" x14ac:dyDescent="0.4">
      <c r="A256" s="4">
        <f t="shared" ca="1" si="4"/>
        <v>255</v>
      </c>
      <c r="B256" s="19">
        <v>46511</v>
      </c>
      <c r="C256" s="4" t="s">
        <v>26</v>
      </c>
      <c r="D256" s="4" t="s">
        <v>35</v>
      </c>
    </row>
    <row r="257" spans="1:4" x14ac:dyDescent="0.4">
      <c r="A257" s="4">
        <f t="shared" ca="1" si="4"/>
        <v>256</v>
      </c>
      <c r="B257" s="19">
        <v>46512</v>
      </c>
      <c r="C257" s="4" t="s">
        <v>31</v>
      </c>
      <c r="D257" s="4" t="s">
        <v>37</v>
      </c>
    </row>
    <row r="258" spans="1:4" x14ac:dyDescent="0.4">
      <c r="A258" s="4">
        <f t="shared" ca="1" si="4"/>
        <v>257</v>
      </c>
      <c r="B258" s="19">
        <v>46587</v>
      </c>
      <c r="C258" s="4" t="s">
        <v>28</v>
      </c>
      <c r="D258" s="4" t="s">
        <v>40</v>
      </c>
    </row>
    <row r="259" spans="1:4" x14ac:dyDescent="0.4">
      <c r="A259" s="4">
        <f t="shared" ca="1" si="4"/>
        <v>258</v>
      </c>
      <c r="B259" s="19">
        <v>46610</v>
      </c>
      <c r="C259" s="4" t="s">
        <v>31</v>
      </c>
      <c r="D259" s="4" t="s">
        <v>49</v>
      </c>
    </row>
    <row r="260" spans="1:4" x14ac:dyDescent="0.4">
      <c r="A260" s="4">
        <f t="shared" ca="1" si="4"/>
        <v>259</v>
      </c>
      <c r="B260" s="19">
        <v>46650</v>
      </c>
      <c r="C260" s="4" t="s">
        <v>28</v>
      </c>
      <c r="D260" s="4" t="s">
        <v>41</v>
      </c>
    </row>
    <row r="261" spans="1:4" x14ac:dyDescent="0.4">
      <c r="A261" s="4">
        <f t="shared" ca="1" si="4"/>
        <v>260</v>
      </c>
      <c r="B261" s="19">
        <v>46653</v>
      </c>
      <c r="C261" s="4" t="s">
        <v>47</v>
      </c>
      <c r="D261" s="4" t="s">
        <v>42</v>
      </c>
    </row>
    <row r="262" spans="1:4" x14ac:dyDescent="0.4">
      <c r="A262" s="4">
        <f t="shared" ca="1" si="4"/>
        <v>261</v>
      </c>
      <c r="B262" s="19">
        <v>46671</v>
      </c>
      <c r="C262" s="4" t="s">
        <v>28</v>
      </c>
      <c r="D262" s="4" t="s">
        <v>43</v>
      </c>
    </row>
    <row r="263" spans="1:4" x14ac:dyDescent="0.4">
      <c r="A263" s="4">
        <f t="shared" ca="1" si="4"/>
        <v>262</v>
      </c>
      <c r="B263" s="19">
        <v>46694</v>
      </c>
      <c r="C263" s="4" t="s">
        <v>31</v>
      </c>
      <c r="D263" s="4" t="s">
        <v>44</v>
      </c>
    </row>
    <row r="264" spans="1:4" x14ac:dyDescent="0.4">
      <c r="A264" s="4">
        <f t="shared" ca="1" si="4"/>
        <v>263</v>
      </c>
      <c r="B264" s="19">
        <v>46714</v>
      </c>
      <c r="C264" s="4" t="s">
        <v>26</v>
      </c>
      <c r="D264" s="4" t="s">
        <v>45</v>
      </c>
    </row>
    <row r="265" spans="1:4" x14ac:dyDescent="0.4">
      <c r="A265" s="4">
        <f t="shared" ca="1" si="4"/>
        <v>264</v>
      </c>
      <c r="B265" s="19">
        <v>46744</v>
      </c>
      <c r="C265" s="4" t="s">
        <v>47</v>
      </c>
      <c r="D265" s="4" t="s">
        <v>46</v>
      </c>
    </row>
    <row r="266" spans="1:4" x14ac:dyDescent="0.4">
      <c r="A266" s="4">
        <f t="shared" ca="1" si="4"/>
        <v>265</v>
      </c>
      <c r="B266" s="19">
        <v>46753</v>
      </c>
      <c r="C266" s="4" t="s">
        <v>36</v>
      </c>
      <c r="D266" s="4" t="s">
        <v>25</v>
      </c>
    </row>
    <row r="267" spans="1:4" x14ac:dyDescent="0.4">
      <c r="A267" s="4">
        <f t="shared" ca="1" si="4"/>
        <v>266</v>
      </c>
      <c r="B267" s="19">
        <v>46762</v>
      </c>
      <c r="C267" s="4" t="s">
        <v>28</v>
      </c>
      <c r="D267" s="4" t="s">
        <v>27</v>
      </c>
    </row>
    <row r="268" spans="1:4" x14ac:dyDescent="0.4">
      <c r="A268" s="4">
        <f t="shared" ref="A268:A331" ca="1" si="5">INDIRECT(ADDRESS(ROW()-1,COLUMN()),TRUE)+1</f>
        <v>267</v>
      </c>
      <c r="B268" s="19">
        <v>46794</v>
      </c>
      <c r="C268" s="4" t="s">
        <v>34</v>
      </c>
      <c r="D268" s="4" t="s">
        <v>29</v>
      </c>
    </row>
    <row r="269" spans="1:4" x14ac:dyDescent="0.4">
      <c r="A269" s="4">
        <f t="shared" ca="1" si="5"/>
        <v>268</v>
      </c>
      <c r="B269" s="19">
        <v>46832</v>
      </c>
      <c r="C269" s="4" t="s">
        <v>28</v>
      </c>
      <c r="D269" s="4" t="s">
        <v>30</v>
      </c>
    </row>
    <row r="270" spans="1:4" x14ac:dyDescent="0.4">
      <c r="A270" s="4">
        <f t="shared" ca="1" si="5"/>
        <v>269</v>
      </c>
      <c r="B270" s="19">
        <v>46872</v>
      </c>
      <c r="C270" s="4" t="s">
        <v>36</v>
      </c>
      <c r="D270" s="4" t="s">
        <v>32</v>
      </c>
    </row>
    <row r="271" spans="1:4" x14ac:dyDescent="0.4">
      <c r="A271" s="4">
        <f t="shared" ca="1" si="5"/>
        <v>270</v>
      </c>
      <c r="B271" s="19">
        <v>46876</v>
      </c>
      <c r="C271" s="4" t="s">
        <v>31</v>
      </c>
      <c r="D271" s="4" t="s">
        <v>33</v>
      </c>
    </row>
    <row r="272" spans="1:4" x14ac:dyDescent="0.4">
      <c r="A272" s="4">
        <f t="shared" ca="1" si="5"/>
        <v>271</v>
      </c>
      <c r="B272" s="19">
        <v>46877</v>
      </c>
      <c r="C272" s="4" t="s">
        <v>47</v>
      </c>
      <c r="D272" s="4" t="s">
        <v>35</v>
      </c>
    </row>
    <row r="273" spans="1:4" x14ac:dyDescent="0.4">
      <c r="A273" s="4">
        <f t="shared" ca="1" si="5"/>
        <v>272</v>
      </c>
      <c r="B273" s="19">
        <v>46878</v>
      </c>
      <c r="C273" s="4" t="s">
        <v>34</v>
      </c>
      <c r="D273" s="4" t="s">
        <v>37</v>
      </c>
    </row>
    <row r="274" spans="1:4" x14ac:dyDescent="0.4">
      <c r="A274" s="4">
        <f t="shared" ca="1" si="5"/>
        <v>273</v>
      </c>
      <c r="B274" s="19">
        <v>46951</v>
      </c>
      <c r="C274" s="4" t="s">
        <v>28</v>
      </c>
      <c r="D274" s="4" t="s">
        <v>40</v>
      </c>
    </row>
    <row r="275" spans="1:4" x14ac:dyDescent="0.4">
      <c r="A275" s="4">
        <f t="shared" ca="1" si="5"/>
        <v>274</v>
      </c>
      <c r="B275" s="19">
        <v>46976</v>
      </c>
      <c r="C275" s="4" t="s">
        <v>34</v>
      </c>
      <c r="D275" s="4" t="s">
        <v>49</v>
      </c>
    </row>
    <row r="276" spans="1:4" x14ac:dyDescent="0.4">
      <c r="A276" s="4">
        <f t="shared" ca="1" si="5"/>
        <v>275</v>
      </c>
      <c r="B276" s="19">
        <v>47014</v>
      </c>
      <c r="C276" s="4" t="s">
        <v>28</v>
      </c>
      <c r="D276" s="4" t="s">
        <v>41</v>
      </c>
    </row>
    <row r="277" spans="1:4" x14ac:dyDescent="0.4">
      <c r="A277" s="4">
        <f t="shared" ca="1" si="5"/>
        <v>276</v>
      </c>
      <c r="B277" s="19">
        <v>47018</v>
      </c>
      <c r="C277" s="4" t="s">
        <v>34</v>
      </c>
      <c r="D277" s="4" t="s">
        <v>42</v>
      </c>
    </row>
    <row r="278" spans="1:4" x14ac:dyDescent="0.4">
      <c r="A278" s="4">
        <f t="shared" ca="1" si="5"/>
        <v>277</v>
      </c>
      <c r="B278" s="19">
        <v>47035</v>
      </c>
      <c r="C278" s="4" t="s">
        <v>28</v>
      </c>
      <c r="D278" s="4" t="s">
        <v>43</v>
      </c>
    </row>
    <row r="279" spans="1:4" x14ac:dyDescent="0.4">
      <c r="A279" s="4">
        <f t="shared" ca="1" si="5"/>
        <v>278</v>
      </c>
      <c r="B279" s="19">
        <v>47060</v>
      </c>
      <c r="C279" s="4" t="s">
        <v>34</v>
      </c>
      <c r="D279" s="4" t="s">
        <v>44</v>
      </c>
    </row>
    <row r="280" spans="1:4" x14ac:dyDescent="0.4">
      <c r="A280" s="4">
        <f t="shared" ca="1" si="5"/>
        <v>279</v>
      </c>
      <c r="B280" s="19">
        <v>47080</v>
      </c>
      <c r="C280" s="4" t="s">
        <v>47</v>
      </c>
      <c r="D280" s="4" t="s">
        <v>45</v>
      </c>
    </row>
    <row r="281" spans="1:4" x14ac:dyDescent="0.4">
      <c r="A281" s="4">
        <f t="shared" ca="1" si="5"/>
        <v>280</v>
      </c>
      <c r="B281" s="19">
        <v>47110</v>
      </c>
      <c r="C281" s="4" t="s">
        <v>36</v>
      </c>
      <c r="D281" s="4" t="s">
        <v>46</v>
      </c>
    </row>
    <row r="282" spans="1:4" x14ac:dyDescent="0.4">
      <c r="A282" s="4">
        <f t="shared" ca="1" si="5"/>
        <v>281</v>
      </c>
      <c r="B282" s="19">
        <v>47119</v>
      </c>
      <c r="C282" s="4" t="s">
        <v>28</v>
      </c>
      <c r="D282" s="4" t="s">
        <v>25</v>
      </c>
    </row>
    <row r="283" spans="1:4" x14ac:dyDescent="0.4">
      <c r="A283" s="4">
        <f t="shared" ca="1" si="5"/>
        <v>282</v>
      </c>
      <c r="B283" s="19">
        <v>47126</v>
      </c>
      <c r="C283" s="4" t="s">
        <v>28</v>
      </c>
      <c r="D283" s="4" t="s">
        <v>27</v>
      </c>
    </row>
    <row r="284" spans="1:4" x14ac:dyDescent="0.4">
      <c r="A284" s="4">
        <f t="shared" ca="1" si="5"/>
        <v>283</v>
      </c>
      <c r="B284" s="19">
        <v>47160</v>
      </c>
      <c r="C284" s="4" t="s">
        <v>38</v>
      </c>
      <c r="D284" s="4" t="s">
        <v>29</v>
      </c>
    </row>
    <row r="285" spans="1:4" x14ac:dyDescent="0.4">
      <c r="A285" s="4">
        <f t="shared" ca="1" si="5"/>
        <v>284</v>
      </c>
      <c r="B285" s="19">
        <v>47161</v>
      </c>
      <c r="C285" s="4" t="s">
        <v>28</v>
      </c>
      <c r="D285" s="4" t="s">
        <v>39</v>
      </c>
    </row>
    <row r="286" spans="1:4" x14ac:dyDescent="0.4">
      <c r="A286" s="4">
        <f t="shared" ca="1" si="5"/>
        <v>285</v>
      </c>
      <c r="B286" s="19">
        <v>47197</v>
      </c>
      <c r="C286" s="4" t="s">
        <v>26</v>
      </c>
      <c r="D286" s="4" t="s">
        <v>30</v>
      </c>
    </row>
    <row r="287" spans="1:4" x14ac:dyDescent="0.4">
      <c r="A287" s="4">
        <f t="shared" ca="1" si="5"/>
        <v>286</v>
      </c>
      <c r="B287" s="19">
        <v>47237</v>
      </c>
      <c r="C287" s="4" t="s">
        <v>38</v>
      </c>
      <c r="D287" s="4" t="s">
        <v>32</v>
      </c>
    </row>
    <row r="288" spans="1:4" x14ac:dyDescent="0.4">
      <c r="A288" s="4">
        <f t="shared" ca="1" si="5"/>
        <v>287</v>
      </c>
      <c r="B288" s="19">
        <v>47238</v>
      </c>
      <c r="C288" s="4" t="s">
        <v>28</v>
      </c>
      <c r="D288" s="4" t="s">
        <v>39</v>
      </c>
    </row>
    <row r="289" spans="1:4" x14ac:dyDescent="0.4">
      <c r="A289" s="4">
        <f t="shared" ca="1" si="5"/>
        <v>288</v>
      </c>
      <c r="B289" s="19">
        <v>47241</v>
      </c>
      <c r="C289" s="4" t="s">
        <v>47</v>
      </c>
      <c r="D289" s="4" t="s">
        <v>33</v>
      </c>
    </row>
    <row r="290" spans="1:4" x14ac:dyDescent="0.4">
      <c r="A290" s="4">
        <f t="shared" ca="1" si="5"/>
        <v>289</v>
      </c>
      <c r="B290" s="19">
        <v>47242</v>
      </c>
      <c r="C290" s="4" t="s">
        <v>34</v>
      </c>
      <c r="D290" s="4" t="s">
        <v>35</v>
      </c>
    </row>
    <row r="291" spans="1:4" x14ac:dyDescent="0.4">
      <c r="A291" s="4">
        <f t="shared" ca="1" si="5"/>
        <v>290</v>
      </c>
      <c r="B291" s="19">
        <v>47243</v>
      </c>
      <c r="C291" s="4" t="s">
        <v>36</v>
      </c>
      <c r="D291" s="4" t="s">
        <v>37</v>
      </c>
    </row>
    <row r="292" spans="1:4" x14ac:dyDescent="0.4">
      <c r="A292" s="4">
        <f t="shared" ca="1" si="5"/>
        <v>291</v>
      </c>
      <c r="B292" s="19">
        <v>47315</v>
      </c>
      <c r="C292" s="4" t="s">
        <v>28</v>
      </c>
      <c r="D292" s="4" t="s">
        <v>40</v>
      </c>
    </row>
    <row r="293" spans="1:4" x14ac:dyDescent="0.4">
      <c r="A293" s="4">
        <f t="shared" ca="1" si="5"/>
        <v>292</v>
      </c>
      <c r="B293" s="19">
        <v>47341</v>
      </c>
      <c r="C293" s="4" t="s">
        <v>36</v>
      </c>
      <c r="D293" s="4" t="s">
        <v>49</v>
      </c>
    </row>
    <row r="294" spans="1:4" x14ac:dyDescent="0.4">
      <c r="A294" s="4">
        <f t="shared" ca="1" si="5"/>
        <v>293</v>
      </c>
      <c r="B294" s="19">
        <v>47378</v>
      </c>
      <c r="C294" s="4" t="s">
        <v>28</v>
      </c>
      <c r="D294" s="4" t="s">
        <v>41</v>
      </c>
    </row>
    <row r="295" spans="1:4" x14ac:dyDescent="0.4">
      <c r="A295" s="4">
        <f t="shared" ca="1" si="5"/>
        <v>294</v>
      </c>
      <c r="B295" s="19">
        <v>47384</v>
      </c>
      <c r="C295" s="4" t="s">
        <v>38</v>
      </c>
      <c r="D295" s="4" t="s">
        <v>42</v>
      </c>
    </row>
    <row r="296" spans="1:4" x14ac:dyDescent="0.4">
      <c r="A296" s="4">
        <f t="shared" ca="1" si="5"/>
        <v>295</v>
      </c>
      <c r="B296" s="19">
        <v>47385</v>
      </c>
      <c r="C296" s="4" t="s">
        <v>28</v>
      </c>
      <c r="D296" s="4" t="s">
        <v>39</v>
      </c>
    </row>
    <row r="297" spans="1:4" x14ac:dyDescent="0.4">
      <c r="A297" s="4">
        <f t="shared" ca="1" si="5"/>
        <v>296</v>
      </c>
      <c r="B297" s="19">
        <v>47399</v>
      </c>
      <c r="C297" s="4" t="s">
        <v>28</v>
      </c>
      <c r="D297" s="4" t="s">
        <v>43</v>
      </c>
    </row>
    <row r="298" spans="1:4" x14ac:dyDescent="0.4">
      <c r="A298" s="4">
        <f t="shared" ca="1" si="5"/>
        <v>297</v>
      </c>
      <c r="B298" s="19">
        <v>47425</v>
      </c>
      <c r="C298" s="4" t="s">
        <v>36</v>
      </c>
      <c r="D298" s="4" t="s">
        <v>44</v>
      </c>
    </row>
    <row r="299" spans="1:4" x14ac:dyDescent="0.4">
      <c r="A299" s="4">
        <f t="shared" ca="1" si="5"/>
        <v>298</v>
      </c>
      <c r="B299" s="19">
        <v>47445</v>
      </c>
      <c r="C299" s="4" t="s">
        <v>34</v>
      </c>
      <c r="D299" s="4" t="s">
        <v>45</v>
      </c>
    </row>
    <row r="300" spans="1:4" x14ac:dyDescent="0.4">
      <c r="A300" s="4">
        <f t="shared" ca="1" si="5"/>
        <v>299</v>
      </c>
      <c r="B300" s="19">
        <v>47475</v>
      </c>
      <c r="C300" s="4" t="s">
        <v>38</v>
      </c>
      <c r="D300" s="4" t="s">
        <v>46</v>
      </c>
    </row>
    <row r="301" spans="1:4" x14ac:dyDescent="0.4">
      <c r="A301" s="4">
        <f t="shared" ca="1" si="5"/>
        <v>300</v>
      </c>
      <c r="B301" s="19">
        <v>47476</v>
      </c>
      <c r="C301" s="4" t="s">
        <v>28</v>
      </c>
      <c r="D301" s="4" t="s">
        <v>39</v>
      </c>
    </row>
    <row r="302" spans="1:4" x14ac:dyDescent="0.4">
      <c r="A302" s="4">
        <f t="shared" ca="1" si="5"/>
        <v>301</v>
      </c>
      <c r="B302" s="19">
        <v>47484</v>
      </c>
      <c r="C302" s="4" t="s">
        <v>26</v>
      </c>
      <c r="D302" s="4" t="s">
        <v>25</v>
      </c>
    </row>
    <row r="303" spans="1:4" x14ac:dyDescent="0.4">
      <c r="A303" s="4">
        <f t="shared" ca="1" si="5"/>
        <v>302</v>
      </c>
      <c r="B303" s="19">
        <v>47497</v>
      </c>
      <c r="C303" s="4" t="s">
        <v>28</v>
      </c>
      <c r="D303" s="4" t="s">
        <v>27</v>
      </c>
    </row>
    <row r="304" spans="1:4" x14ac:dyDescent="0.4">
      <c r="A304" s="4">
        <f t="shared" ca="1" si="5"/>
        <v>303</v>
      </c>
      <c r="B304" s="19">
        <v>47525</v>
      </c>
      <c r="C304" s="4" t="s">
        <v>28</v>
      </c>
      <c r="D304" s="4" t="s">
        <v>29</v>
      </c>
    </row>
    <row r="305" spans="1:4" x14ac:dyDescent="0.4">
      <c r="A305" s="4">
        <f t="shared" ca="1" si="5"/>
        <v>304</v>
      </c>
      <c r="B305" s="19">
        <v>47562</v>
      </c>
      <c r="C305" s="4" t="s">
        <v>31</v>
      </c>
      <c r="D305" s="4" t="s">
        <v>30</v>
      </c>
    </row>
    <row r="306" spans="1:4" x14ac:dyDescent="0.4">
      <c r="A306" s="4">
        <f t="shared" ca="1" si="5"/>
        <v>305</v>
      </c>
      <c r="B306" s="19">
        <v>47602</v>
      </c>
      <c r="C306" s="4" t="s">
        <v>28</v>
      </c>
      <c r="D306" s="4" t="s">
        <v>32</v>
      </c>
    </row>
    <row r="307" spans="1:4" x14ac:dyDescent="0.4">
      <c r="A307" s="4">
        <f t="shared" ca="1" si="5"/>
        <v>306</v>
      </c>
      <c r="B307" s="19">
        <v>47606</v>
      </c>
      <c r="C307" s="4" t="s">
        <v>34</v>
      </c>
      <c r="D307" s="4" t="s">
        <v>33</v>
      </c>
    </row>
    <row r="308" spans="1:4" x14ac:dyDescent="0.4">
      <c r="A308" s="4">
        <f t="shared" ca="1" si="5"/>
        <v>307</v>
      </c>
      <c r="B308" s="19">
        <v>47607</v>
      </c>
      <c r="C308" s="4" t="s">
        <v>36</v>
      </c>
      <c r="D308" s="4" t="s">
        <v>35</v>
      </c>
    </row>
    <row r="309" spans="1:4" x14ac:dyDescent="0.4">
      <c r="A309" s="4">
        <f t="shared" ca="1" si="5"/>
        <v>308</v>
      </c>
      <c r="B309" s="19">
        <v>47608</v>
      </c>
      <c r="C309" s="4" t="s">
        <v>38</v>
      </c>
      <c r="D309" s="4" t="s">
        <v>37</v>
      </c>
    </row>
    <row r="310" spans="1:4" x14ac:dyDescent="0.4">
      <c r="A310" s="4">
        <f t="shared" ca="1" si="5"/>
        <v>309</v>
      </c>
      <c r="B310" s="19">
        <v>47609</v>
      </c>
      <c r="C310" s="4" t="s">
        <v>28</v>
      </c>
      <c r="D310" s="4" t="s">
        <v>39</v>
      </c>
    </row>
    <row r="311" spans="1:4" x14ac:dyDescent="0.4">
      <c r="A311" s="4">
        <f t="shared" ca="1" si="5"/>
        <v>310</v>
      </c>
      <c r="B311" s="19">
        <v>47679</v>
      </c>
      <c r="C311" s="4" t="s">
        <v>28</v>
      </c>
      <c r="D311" s="4" t="s">
        <v>40</v>
      </c>
    </row>
    <row r="312" spans="1:4" x14ac:dyDescent="0.4">
      <c r="A312" s="4">
        <f t="shared" ca="1" si="5"/>
        <v>311</v>
      </c>
      <c r="B312" s="19">
        <v>47706</v>
      </c>
      <c r="C312" s="4" t="s">
        <v>38</v>
      </c>
      <c r="D312" s="4" t="s">
        <v>49</v>
      </c>
    </row>
    <row r="313" spans="1:4" x14ac:dyDescent="0.4">
      <c r="A313" s="4">
        <f t="shared" ca="1" si="5"/>
        <v>312</v>
      </c>
      <c r="B313" s="19">
        <v>47707</v>
      </c>
      <c r="C313" s="4" t="s">
        <v>28</v>
      </c>
      <c r="D313" s="4" t="s">
        <v>39</v>
      </c>
    </row>
    <row r="314" spans="1:4" x14ac:dyDescent="0.4">
      <c r="A314" s="4">
        <f t="shared" ca="1" si="5"/>
        <v>313</v>
      </c>
      <c r="B314" s="19">
        <v>47742</v>
      </c>
      <c r="C314" s="4" t="s">
        <v>28</v>
      </c>
      <c r="D314" s="4" t="s">
        <v>41</v>
      </c>
    </row>
    <row r="315" spans="1:4" x14ac:dyDescent="0.4">
      <c r="A315" s="4">
        <f t="shared" ca="1" si="5"/>
        <v>314</v>
      </c>
      <c r="B315" s="19">
        <v>47749</v>
      </c>
      <c r="C315" s="4" t="s">
        <v>28</v>
      </c>
      <c r="D315" s="4" t="s">
        <v>42</v>
      </c>
    </row>
    <row r="316" spans="1:4" x14ac:dyDescent="0.4">
      <c r="A316" s="4">
        <f t="shared" ca="1" si="5"/>
        <v>315</v>
      </c>
      <c r="B316" s="19">
        <v>47770</v>
      </c>
      <c r="C316" s="4" t="s">
        <v>28</v>
      </c>
      <c r="D316" s="4" t="s">
        <v>43</v>
      </c>
    </row>
    <row r="317" spans="1:4" x14ac:dyDescent="0.4">
      <c r="A317" s="4">
        <f t="shared" ca="1" si="5"/>
        <v>316</v>
      </c>
      <c r="B317" s="19">
        <v>47790</v>
      </c>
      <c r="C317" s="4" t="s">
        <v>38</v>
      </c>
      <c r="D317" s="4" t="s">
        <v>44</v>
      </c>
    </row>
    <row r="318" spans="1:4" x14ac:dyDescent="0.4">
      <c r="A318" s="4">
        <f t="shared" ca="1" si="5"/>
        <v>317</v>
      </c>
      <c r="B318" s="19">
        <v>47791</v>
      </c>
      <c r="C318" s="4" t="s">
        <v>28</v>
      </c>
      <c r="D318" s="4" t="s">
        <v>39</v>
      </c>
    </row>
    <row r="319" spans="1:4" x14ac:dyDescent="0.4">
      <c r="A319" s="4">
        <f t="shared" ca="1" si="5"/>
        <v>318</v>
      </c>
      <c r="B319" s="19">
        <v>47810</v>
      </c>
      <c r="C319" s="4" t="s">
        <v>36</v>
      </c>
      <c r="D319" s="4" t="s">
        <v>45</v>
      </c>
    </row>
    <row r="320" spans="1:4" x14ac:dyDescent="0.4">
      <c r="A320" s="4">
        <f t="shared" ca="1" si="5"/>
        <v>319</v>
      </c>
      <c r="B320" s="19">
        <v>47840</v>
      </c>
      <c r="C320" s="4" t="s">
        <v>28</v>
      </c>
      <c r="D320" s="4" t="s">
        <v>46</v>
      </c>
    </row>
    <row r="321" spans="1:4" x14ac:dyDescent="0.4">
      <c r="A321" s="4">
        <f t="shared" ca="1" si="5"/>
        <v>320</v>
      </c>
      <c r="B321" s="19">
        <v>47849</v>
      </c>
      <c r="C321" s="4" t="s">
        <v>31</v>
      </c>
      <c r="D321" s="4" t="s">
        <v>25</v>
      </c>
    </row>
    <row r="322" spans="1:4" x14ac:dyDescent="0.4">
      <c r="A322" s="4">
        <f t="shared" ca="1" si="5"/>
        <v>321</v>
      </c>
      <c r="B322" s="19">
        <v>47861</v>
      </c>
      <c r="C322" s="4" t="s">
        <v>28</v>
      </c>
      <c r="D322" s="4" t="s">
        <v>27</v>
      </c>
    </row>
    <row r="323" spans="1:4" x14ac:dyDescent="0.4">
      <c r="A323" s="4">
        <f t="shared" ca="1" si="5"/>
        <v>322</v>
      </c>
      <c r="B323" s="19">
        <v>47890</v>
      </c>
      <c r="C323" s="4" t="s">
        <v>26</v>
      </c>
      <c r="D323" s="4" t="s">
        <v>29</v>
      </c>
    </row>
    <row r="324" spans="1:4" x14ac:dyDescent="0.4">
      <c r="A324" s="4">
        <f t="shared" ca="1" si="5"/>
        <v>323</v>
      </c>
      <c r="B324" s="19">
        <v>47928</v>
      </c>
      <c r="C324" s="4" t="s">
        <v>34</v>
      </c>
      <c r="D324" s="4" t="s">
        <v>30</v>
      </c>
    </row>
    <row r="325" spans="1:4" x14ac:dyDescent="0.4">
      <c r="A325" s="4">
        <f t="shared" ca="1" si="5"/>
        <v>324</v>
      </c>
      <c r="B325" s="19">
        <v>47967</v>
      </c>
      <c r="C325" s="4" t="s">
        <v>26</v>
      </c>
      <c r="D325" s="4" t="s">
        <v>32</v>
      </c>
    </row>
    <row r="326" spans="1:4" x14ac:dyDescent="0.4">
      <c r="A326" s="4">
        <f t="shared" ca="1" si="5"/>
        <v>325</v>
      </c>
      <c r="B326" s="19">
        <v>47971</v>
      </c>
      <c r="C326" s="4" t="s">
        <v>36</v>
      </c>
      <c r="D326" s="4" t="s">
        <v>33</v>
      </c>
    </row>
    <row r="327" spans="1:4" x14ac:dyDescent="0.4">
      <c r="A327" s="4">
        <f t="shared" ca="1" si="5"/>
        <v>326</v>
      </c>
      <c r="B327" s="19">
        <v>47972</v>
      </c>
      <c r="C327" s="4" t="s">
        <v>38</v>
      </c>
      <c r="D327" s="4" t="s">
        <v>35</v>
      </c>
    </row>
    <row r="328" spans="1:4" x14ac:dyDescent="0.4">
      <c r="A328" s="4">
        <f t="shared" ca="1" si="5"/>
        <v>327</v>
      </c>
      <c r="B328" s="19">
        <v>47973</v>
      </c>
      <c r="C328" s="4" t="s">
        <v>28</v>
      </c>
      <c r="D328" s="4" t="s">
        <v>37</v>
      </c>
    </row>
    <row r="329" spans="1:4" x14ac:dyDescent="0.4">
      <c r="A329" s="4">
        <f t="shared" ca="1" si="5"/>
        <v>328</v>
      </c>
      <c r="B329" s="19">
        <v>47974</v>
      </c>
      <c r="C329" s="4" t="s">
        <v>26</v>
      </c>
      <c r="D329" s="4" t="s">
        <v>39</v>
      </c>
    </row>
    <row r="330" spans="1:4" x14ac:dyDescent="0.4">
      <c r="A330" s="4">
        <f t="shared" ca="1" si="5"/>
        <v>329</v>
      </c>
      <c r="B330" s="19">
        <v>48050</v>
      </c>
      <c r="C330" s="4" t="s">
        <v>28</v>
      </c>
      <c r="D330" s="4" t="s">
        <v>40</v>
      </c>
    </row>
    <row r="331" spans="1:4" x14ac:dyDescent="0.4">
      <c r="A331" s="4">
        <f t="shared" ca="1" si="5"/>
        <v>330</v>
      </c>
      <c r="B331" s="19">
        <v>48071</v>
      </c>
      <c r="C331" s="4" t="s">
        <v>28</v>
      </c>
      <c r="D331" s="4" t="s">
        <v>49</v>
      </c>
    </row>
    <row r="332" spans="1:4" x14ac:dyDescent="0.4">
      <c r="A332" s="4">
        <f t="shared" ref="A332:A355" ca="1" si="6">INDIRECT(ADDRESS(ROW()-1,COLUMN()),TRUE)+1</f>
        <v>331</v>
      </c>
      <c r="B332" s="19">
        <v>48106</v>
      </c>
      <c r="C332" s="4" t="s">
        <v>28</v>
      </c>
      <c r="D332" s="4" t="s">
        <v>41</v>
      </c>
    </row>
    <row r="333" spans="1:4" x14ac:dyDescent="0.4">
      <c r="A333" s="4">
        <f t="shared" ca="1" si="6"/>
        <v>332</v>
      </c>
      <c r="B333" s="19">
        <v>48114</v>
      </c>
      <c r="C333" s="4" t="s">
        <v>26</v>
      </c>
      <c r="D333" s="4" t="s">
        <v>42</v>
      </c>
    </row>
    <row r="334" spans="1:4" x14ac:dyDescent="0.4">
      <c r="A334" s="4">
        <f t="shared" ca="1" si="6"/>
        <v>333</v>
      </c>
      <c r="B334" s="19">
        <v>48134</v>
      </c>
      <c r="C334" s="4" t="s">
        <v>28</v>
      </c>
      <c r="D334" s="4" t="s">
        <v>43</v>
      </c>
    </row>
    <row r="335" spans="1:4" x14ac:dyDescent="0.4">
      <c r="A335" s="4">
        <f t="shared" ca="1" si="6"/>
        <v>334</v>
      </c>
      <c r="B335" s="19">
        <v>48155</v>
      </c>
      <c r="C335" s="4" t="s">
        <v>28</v>
      </c>
      <c r="D335" s="4" t="s">
        <v>44</v>
      </c>
    </row>
    <row r="336" spans="1:4" x14ac:dyDescent="0.4">
      <c r="A336" s="4">
        <f t="shared" ca="1" si="6"/>
        <v>335</v>
      </c>
      <c r="B336" s="19">
        <v>48175</v>
      </c>
      <c r="C336" s="4" t="s">
        <v>38</v>
      </c>
      <c r="D336" s="4" t="s">
        <v>45</v>
      </c>
    </row>
    <row r="337" spans="1:4" x14ac:dyDescent="0.4">
      <c r="A337" s="4">
        <f t="shared" ca="1" si="6"/>
        <v>336</v>
      </c>
      <c r="B337" s="19">
        <v>48176</v>
      </c>
      <c r="C337" s="4" t="s">
        <v>28</v>
      </c>
      <c r="D337" s="4" t="s">
        <v>39</v>
      </c>
    </row>
    <row r="338" spans="1:4" x14ac:dyDescent="0.4">
      <c r="A338" s="4">
        <f t="shared" ca="1" si="6"/>
        <v>337</v>
      </c>
      <c r="B338" s="19">
        <v>48205</v>
      </c>
      <c r="C338" s="4" t="s">
        <v>26</v>
      </c>
      <c r="D338" s="4" t="s">
        <v>46</v>
      </c>
    </row>
    <row r="339" spans="1:4" x14ac:dyDescent="0.4">
      <c r="A339" s="4">
        <f t="shared" ca="1" si="6"/>
        <v>338</v>
      </c>
      <c r="B339" s="19">
        <v>48214</v>
      </c>
      <c r="C339" s="4" t="s">
        <v>47</v>
      </c>
      <c r="D339" s="4" t="s">
        <v>25</v>
      </c>
    </row>
    <row r="340" spans="1:4" x14ac:dyDescent="0.4">
      <c r="A340" s="4">
        <f t="shared" ca="1" si="6"/>
        <v>339</v>
      </c>
      <c r="B340" s="19">
        <v>48225</v>
      </c>
      <c r="C340" s="4" t="s">
        <v>28</v>
      </c>
      <c r="D340" s="4" t="s">
        <v>27</v>
      </c>
    </row>
    <row r="341" spans="1:4" x14ac:dyDescent="0.4">
      <c r="A341" s="4">
        <f t="shared" ca="1" si="6"/>
        <v>340</v>
      </c>
      <c r="B341" s="19">
        <v>48255</v>
      </c>
      <c r="C341" s="4" t="s">
        <v>31</v>
      </c>
      <c r="D341" s="4" t="s">
        <v>29</v>
      </c>
    </row>
    <row r="342" spans="1:4" x14ac:dyDescent="0.4">
      <c r="A342" s="4">
        <f t="shared" ca="1" si="6"/>
        <v>341</v>
      </c>
      <c r="B342" s="19">
        <v>48293</v>
      </c>
      <c r="C342" s="4" t="s">
        <v>36</v>
      </c>
      <c r="D342" s="4" t="s">
        <v>30</v>
      </c>
    </row>
    <row r="343" spans="1:4" x14ac:dyDescent="0.4">
      <c r="A343" s="4">
        <f t="shared" ca="1" si="6"/>
        <v>342</v>
      </c>
      <c r="B343" s="19">
        <v>48333</v>
      </c>
      <c r="C343" s="4" t="s">
        <v>47</v>
      </c>
      <c r="D343" s="4" t="s">
        <v>32</v>
      </c>
    </row>
    <row r="344" spans="1:4" x14ac:dyDescent="0.4">
      <c r="A344" s="4">
        <f t="shared" ca="1" si="6"/>
        <v>343</v>
      </c>
      <c r="B344" s="19">
        <v>48337</v>
      </c>
      <c r="C344" s="4" t="s">
        <v>28</v>
      </c>
      <c r="D344" s="4" t="s">
        <v>33</v>
      </c>
    </row>
    <row r="345" spans="1:4" x14ac:dyDescent="0.4">
      <c r="A345" s="4">
        <f t="shared" ca="1" si="6"/>
        <v>344</v>
      </c>
      <c r="B345" s="19">
        <v>48338</v>
      </c>
      <c r="C345" s="4" t="s">
        <v>26</v>
      </c>
      <c r="D345" s="4" t="s">
        <v>35</v>
      </c>
    </row>
    <row r="346" spans="1:4" x14ac:dyDescent="0.4">
      <c r="A346" s="4">
        <f t="shared" ca="1" si="6"/>
        <v>345</v>
      </c>
      <c r="B346" s="19">
        <v>48339</v>
      </c>
      <c r="C346" s="4" t="s">
        <v>31</v>
      </c>
      <c r="D346" s="4" t="s">
        <v>37</v>
      </c>
    </row>
    <row r="347" spans="1:4" x14ac:dyDescent="0.4">
      <c r="A347" s="4">
        <f t="shared" ca="1" si="6"/>
        <v>346</v>
      </c>
      <c r="B347" s="19">
        <v>48414</v>
      </c>
      <c r="C347" s="4" t="s">
        <v>28</v>
      </c>
      <c r="D347" s="4" t="s">
        <v>40</v>
      </c>
    </row>
    <row r="348" spans="1:4" x14ac:dyDescent="0.4">
      <c r="A348" s="4">
        <f t="shared" ca="1" si="6"/>
        <v>347</v>
      </c>
      <c r="B348" s="19">
        <v>48437</v>
      </c>
      <c r="C348" s="4" t="s">
        <v>31</v>
      </c>
      <c r="D348" s="4" t="s">
        <v>49</v>
      </c>
    </row>
    <row r="349" spans="1:4" x14ac:dyDescent="0.4">
      <c r="A349" s="4">
        <f t="shared" ca="1" si="6"/>
        <v>348</v>
      </c>
      <c r="B349" s="19">
        <v>48477</v>
      </c>
      <c r="C349" s="4" t="s">
        <v>28</v>
      </c>
      <c r="D349" s="4" t="s">
        <v>41</v>
      </c>
    </row>
    <row r="350" spans="1:4" x14ac:dyDescent="0.4">
      <c r="A350" s="4">
        <f t="shared" ca="1" si="6"/>
        <v>349</v>
      </c>
      <c r="B350" s="19">
        <v>48478</v>
      </c>
      <c r="C350" s="4" t="s">
        <v>26</v>
      </c>
      <c r="D350" s="4" t="s">
        <v>48</v>
      </c>
    </row>
    <row r="351" spans="1:4" x14ac:dyDescent="0.4">
      <c r="A351" s="4">
        <f t="shared" ca="1" si="6"/>
        <v>350</v>
      </c>
      <c r="B351" s="19">
        <v>48479</v>
      </c>
      <c r="C351" s="4" t="s">
        <v>31</v>
      </c>
      <c r="D351" s="4" t="s">
        <v>42</v>
      </c>
    </row>
    <row r="352" spans="1:4" x14ac:dyDescent="0.4">
      <c r="A352" s="4">
        <f t="shared" ca="1" si="6"/>
        <v>351</v>
      </c>
      <c r="B352" s="19">
        <v>48498</v>
      </c>
      <c r="C352" s="4" t="s">
        <v>28</v>
      </c>
      <c r="D352" s="4" t="s">
        <v>43</v>
      </c>
    </row>
    <row r="353" spans="1:4" x14ac:dyDescent="0.4">
      <c r="A353" s="4">
        <f t="shared" ca="1" si="6"/>
        <v>352</v>
      </c>
      <c r="B353" s="19">
        <v>48521</v>
      </c>
      <c r="C353" s="4" t="s">
        <v>31</v>
      </c>
      <c r="D353" s="4" t="s">
        <v>44</v>
      </c>
    </row>
    <row r="354" spans="1:4" x14ac:dyDescent="0.4">
      <c r="A354" s="4">
        <f t="shared" ca="1" si="6"/>
        <v>353</v>
      </c>
      <c r="B354" s="19">
        <v>48541</v>
      </c>
      <c r="C354" s="4" t="s">
        <v>26</v>
      </c>
      <c r="D354" s="4" t="s">
        <v>45</v>
      </c>
    </row>
    <row r="355" spans="1:4" x14ac:dyDescent="0.4">
      <c r="A355" s="4">
        <f t="shared" ca="1" si="6"/>
        <v>354</v>
      </c>
      <c r="B355" s="19">
        <v>48571</v>
      </c>
      <c r="C355" s="4" t="s">
        <v>47</v>
      </c>
      <c r="D355" s="4" t="s">
        <v>46</v>
      </c>
    </row>
  </sheetData>
  <phoneticPr fontId="1"/>
  <pageMargins left="0.7" right="0.7" top="0.75" bottom="0.75" header="0.3" footer="0.3"/>
  <pageSetup paperSize="9" orientation="portrait" horizontalDpi="30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mberSheet">
    <tabColor rgb="FF00B050"/>
  </sheetPr>
  <dimension ref="A1:D11"/>
  <sheetViews>
    <sheetView workbookViewId="0">
      <pane ySplit="1" topLeftCell="A2" activePane="bottomLeft" state="frozen"/>
      <selection activeCell="D25" sqref="D25"/>
      <selection pane="bottomLeft" activeCell="A11" sqref="A11"/>
    </sheetView>
  </sheetViews>
  <sheetFormatPr defaultRowHeight="16.5" x14ac:dyDescent="0.4"/>
  <cols>
    <col min="1" max="1" width="3.5" style="4" bestFit="1" customWidth="1"/>
    <col min="2" max="2" width="9.125" style="4" bestFit="1" customWidth="1"/>
    <col min="3" max="3" width="11.875" style="21" bestFit="1" customWidth="1"/>
    <col min="4" max="4" width="11.5" style="4" bestFit="1" customWidth="1"/>
  </cols>
  <sheetData>
    <row r="1" spans="1:4" x14ac:dyDescent="0.4">
      <c r="A1" s="18" t="s">
        <v>50</v>
      </c>
      <c r="B1" s="18" t="s">
        <v>64</v>
      </c>
      <c r="C1" s="22" t="s">
        <v>74</v>
      </c>
      <c r="D1" s="18" t="s">
        <v>53</v>
      </c>
    </row>
    <row r="2" spans="1:4" x14ac:dyDescent="0.4">
      <c r="A2" s="4">
        <v>1</v>
      </c>
      <c r="B2" s="20" t="s">
        <v>19</v>
      </c>
      <c r="C2" s="23" t="s">
        <v>75</v>
      </c>
    </row>
    <row r="3" spans="1:4" x14ac:dyDescent="0.4">
      <c r="A3" s="4">
        <f t="shared" ref="A3:A11" si="0">INDIRECT(ADDRESS(ROW()-1,COLUMN()),TRUE)+1</f>
        <v>2</v>
      </c>
      <c r="B3" s="24" t="s">
        <v>20</v>
      </c>
      <c r="C3" s="23" t="s">
        <v>76</v>
      </c>
    </row>
    <row r="4" spans="1:4" x14ac:dyDescent="0.4">
      <c r="A4" s="4">
        <f t="shared" si="0"/>
        <v>3</v>
      </c>
      <c r="B4" s="25" t="s">
        <v>3</v>
      </c>
      <c r="C4" s="23" t="s">
        <v>77</v>
      </c>
    </row>
    <row r="5" spans="1:4" x14ac:dyDescent="0.4">
      <c r="A5" s="4">
        <f t="shared" si="0"/>
        <v>4</v>
      </c>
      <c r="B5" s="26" t="s">
        <v>5</v>
      </c>
      <c r="C5" s="23" t="s">
        <v>78</v>
      </c>
    </row>
    <row r="6" spans="1:4" x14ac:dyDescent="0.4">
      <c r="A6" s="4">
        <f t="shared" si="0"/>
        <v>5</v>
      </c>
      <c r="B6" s="27" t="s">
        <v>7</v>
      </c>
      <c r="C6" s="23" t="s">
        <v>79</v>
      </c>
    </row>
    <row r="7" spans="1:4" x14ac:dyDescent="0.4">
      <c r="A7" s="4">
        <f t="shared" si="0"/>
        <v>6</v>
      </c>
      <c r="B7" s="28" t="s">
        <v>9</v>
      </c>
      <c r="C7" s="23" t="s">
        <v>80</v>
      </c>
    </row>
    <row r="8" spans="1:4" x14ac:dyDescent="0.4">
      <c r="A8" s="4">
        <f t="shared" si="0"/>
        <v>7</v>
      </c>
      <c r="B8" s="67" t="s">
        <v>10</v>
      </c>
      <c r="C8" s="23" t="s">
        <v>97</v>
      </c>
    </row>
    <row r="9" spans="1:4" x14ac:dyDescent="0.4">
      <c r="A9" s="4">
        <f t="shared" si="0"/>
        <v>8</v>
      </c>
      <c r="B9" s="29" t="s">
        <v>11</v>
      </c>
      <c r="C9" s="23" t="s">
        <v>81</v>
      </c>
    </row>
    <row r="10" spans="1:4" x14ac:dyDescent="0.4">
      <c r="A10" s="4">
        <f t="shared" si="0"/>
        <v>9</v>
      </c>
      <c r="B10" s="30" t="s">
        <v>13</v>
      </c>
      <c r="C10" s="23" t="s">
        <v>82</v>
      </c>
    </row>
    <row r="11" spans="1:4" x14ac:dyDescent="0.4">
      <c r="A11" s="4">
        <f t="shared" si="0"/>
        <v>10</v>
      </c>
      <c r="B11" s="31" t="s">
        <v>15</v>
      </c>
      <c r="C11" s="23" t="s">
        <v>83</v>
      </c>
    </row>
  </sheetData>
  <phoneticPr fontId="1"/>
  <pageMargins left="0.7" right="0.7" top="0.75" bottom="0.75" header="0.3" footer="0.3"/>
  <pageSetup paperSize="9" orientation="portrait" horizontalDpi="300" verticalDpi="0" r:id="rId1"/>
  <ignoredErrors>
    <ignoredError sqref="C2:C11" numberStoredAsText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atusSheet">
    <tabColor rgb="FF00B050"/>
  </sheetPr>
  <dimension ref="A1:D12"/>
  <sheetViews>
    <sheetView workbookViewId="0">
      <pane ySplit="1" topLeftCell="A2" activePane="bottomLeft" state="frozen"/>
      <selection activeCell="D25" sqref="D25"/>
      <selection pane="bottomLeft" activeCell="C2" sqref="C2:C9"/>
    </sheetView>
  </sheetViews>
  <sheetFormatPr defaultRowHeight="16.5" x14ac:dyDescent="0.4"/>
  <cols>
    <col min="1" max="1" width="3.5" style="4" bestFit="1" customWidth="1"/>
    <col min="2" max="2" width="8" style="4" bestFit="1" customWidth="1"/>
    <col min="3" max="3" width="11.875" style="4" bestFit="1" customWidth="1"/>
    <col min="4" max="4" width="11.5" style="4" bestFit="1" customWidth="1"/>
  </cols>
  <sheetData>
    <row r="1" spans="1:4" x14ac:dyDescent="0.4">
      <c r="A1" s="18" t="s">
        <v>51</v>
      </c>
      <c r="B1" s="18" t="s">
        <v>52</v>
      </c>
      <c r="C1" s="18" t="s">
        <v>74</v>
      </c>
      <c r="D1" s="18" t="s">
        <v>53</v>
      </c>
    </row>
    <row r="2" spans="1:4" x14ac:dyDescent="0.4">
      <c r="A2" s="4">
        <v>1</v>
      </c>
      <c r="B2" s="44" t="s">
        <v>16</v>
      </c>
      <c r="C2" s="32" t="s">
        <v>95</v>
      </c>
    </row>
    <row r="3" spans="1:4" x14ac:dyDescent="0.4">
      <c r="A3" s="4">
        <f t="shared" ref="A3:A12" ca="1" si="0">INDIRECT(ADDRESS(ROW()-1,COLUMN()),TRUE)+1</f>
        <v>2</v>
      </c>
      <c r="B3" s="34" t="s">
        <v>21</v>
      </c>
      <c r="C3" s="32" t="s">
        <v>84</v>
      </c>
    </row>
    <row r="4" spans="1:4" x14ac:dyDescent="0.4">
      <c r="A4" s="4">
        <f t="shared" ca="1" si="0"/>
        <v>3</v>
      </c>
      <c r="B4" s="35" t="s">
        <v>22</v>
      </c>
      <c r="C4" s="32" t="s">
        <v>93</v>
      </c>
    </row>
    <row r="5" spans="1:4" x14ac:dyDescent="0.4">
      <c r="A5" s="4">
        <f t="shared" ca="1" si="0"/>
        <v>4</v>
      </c>
      <c r="B5" s="36" t="s">
        <v>94</v>
      </c>
      <c r="C5" s="32" t="s">
        <v>85</v>
      </c>
    </row>
    <row r="6" spans="1:4" x14ac:dyDescent="0.4">
      <c r="A6" s="4">
        <f t="shared" ca="1" si="0"/>
        <v>5</v>
      </c>
      <c r="B6" s="37" t="s">
        <v>23</v>
      </c>
      <c r="C6" s="33" t="s">
        <v>86</v>
      </c>
    </row>
    <row r="7" spans="1:4" x14ac:dyDescent="0.4">
      <c r="A7" s="4">
        <f t="shared" ca="1" si="0"/>
        <v>6</v>
      </c>
      <c r="B7" s="38" t="s">
        <v>69</v>
      </c>
      <c r="C7" s="32" t="s">
        <v>87</v>
      </c>
    </row>
    <row r="8" spans="1:4" x14ac:dyDescent="0.4">
      <c r="A8" s="4">
        <f t="shared" ca="1" si="0"/>
        <v>7</v>
      </c>
      <c r="B8" s="39" t="s">
        <v>72</v>
      </c>
      <c r="C8" s="32" t="s">
        <v>92</v>
      </c>
    </row>
    <row r="9" spans="1:4" x14ac:dyDescent="0.4">
      <c r="A9" s="4">
        <f t="shared" ca="1" si="0"/>
        <v>8</v>
      </c>
      <c r="B9" s="40" t="s">
        <v>17</v>
      </c>
      <c r="C9" s="32" t="s">
        <v>91</v>
      </c>
    </row>
    <row r="10" spans="1:4" x14ac:dyDescent="0.4">
      <c r="A10" s="4">
        <f t="shared" ca="1" si="0"/>
        <v>9</v>
      </c>
      <c r="B10" s="41" t="s">
        <v>71</v>
      </c>
      <c r="C10" s="33" t="s">
        <v>89</v>
      </c>
    </row>
    <row r="11" spans="1:4" x14ac:dyDescent="0.4">
      <c r="A11" s="4">
        <f t="shared" ca="1" si="0"/>
        <v>10</v>
      </c>
      <c r="B11" s="42" t="s">
        <v>24</v>
      </c>
      <c r="C11" s="32" t="s">
        <v>90</v>
      </c>
    </row>
    <row r="12" spans="1:4" x14ac:dyDescent="0.4">
      <c r="A12" s="4">
        <f t="shared" ca="1" si="0"/>
        <v>11</v>
      </c>
      <c r="B12" s="43" t="s">
        <v>68</v>
      </c>
      <c r="C12" s="32" t="s">
        <v>88</v>
      </c>
    </row>
  </sheetData>
  <phoneticPr fontId="1"/>
  <pageMargins left="0.7" right="0.7" top="0.75" bottom="0.75" header="0.3" footer="0.3"/>
  <pageSetup paperSize="9" orientation="portrait" horizontalDpi="300" verticalDpi="0" r:id="rId1"/>
  <ignoredErrors>
    <ignoredError sqref="C2:C9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main</vt:lpstr>
      <vt:lpstr>holiday</vt:lpstr>
      <vt:lpstr>member</vt:lpstr>
      <vt:lpstr>status</vt:lpstr>
      <vt:lpstr>main!Print_Area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2016-05-24T02:20:22Z</dcterms:created>
  <dcterms:modified xsi:type="dcterms:W3CDTF">2016-05-25T01:42:23Z</dcterms:modified>
  <cp:contentStatus/>
</cp:coreProperties>
</file>