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H8" i="1"/>
  <c r="E9" i="1"/>
  <c r="B8" i="1"/>
  <c r="A3" i="4"/>
  <c r="A4" i="4" s="1"/>
  <c r="A5" i="4"/>
  <c r="A3" i="3"/>
  <c r="A4" i="3"/>
  <c r="A5" i="3"/>
  <c r="A6" i="4"/>
  <c r="A7" i="4"/>
  <c r="A6" i="3"/>
  <c r="A7" i="3"/>
  <c r="A8" i="3" s="1"/>
  <c r="A9" i="3" s="1"/>
  <c r="A10" i="3" s="1"/>
  <c r="A8" i="4"/>
  <c r="A9" i="4" s="1"/>
  <c r="A10" i="4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11" i="4"/>
  <c r="A12" i="4"/>
  <c r="H9" i="1"/>
  <c r="E10" i="1" s="1"/>
  <c r="H10" i="1" s="1"/>
  <c r="B9" i="1"/>
  <c r="B10" i="1"/>
  <c r="B11" i="1"/>
  <c r="B12" i="1"/>
  <c r="B13" i="1"/>
  <c r="B14" i="1"/>
  <c r="B15" i="1" s="1"/>
  <c r="E11" i="1"/>
  <c r="H11" i="1"/>
  <c r="E12" i="1" s="1"/>
  <c r="H12" i="1" s="1"/>
  <c r="B16" i="1"/>
  <c r="B18" i="1"/>
  <c r="E13" i="1"/>
  <c r="B19" i="1"/>
  <c r="B20" i="1"/>
  <c r="B21" i="1"/>
  <c r="B22" i="1"/>
  <c r="B23" i="1" s="1"/>
  <c r="H13" i="1"/>
  <c r="E14" i="1" s="1"/>
  <c r="H14" i="1" s="1"/>
  <c r="E15" i="1"/>
  <c r="B24" i="1"/>
  <c r="B25" i="1" s="1"/>
  <c r="B26" i="1"/>
  <c r="B27" i="1" s="1"/>
  <c r="H15" i="1"/>
  <c r="E16" i="1" s="1"/>
  <c r="H16" i="1"/>
  <c r="B29" i="1"/>
  <c r="B30" i="1"/>
  <c r="B31" i="1" s="1"/>
  <c r="E18" i="1"/>
  <c r="H18" i="1"/>
  <c r="E19" i="1" s="1"/>
  <c r="H19" i="1" s="1"/>
  <c r="B32" i="1"/>
  <c r="B33" i="1" s="1"/>
  <c r="B34" i="1"/>
  <c r="B35" i="1" s="1"/>
  <c r="E20" i="1"/>
  <c r="H20" i="1"/>
  <c r="E21" i="1" s="1"/>
  <c r="H21" i="1" s="1"/>
  <c r="B36" i="1"/>
  <c r="B37" i="1" s="1"/>
  <c r="B38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 s="1"/>
  <c r="H30" i="1" s="1"/>
  <c r="E31" i="1"/>
  <c r="H31" i="1"/>
  <c r="E32" i="1" s="1"/>
  <c r="H32" i="1" s="1"/>
  <c r="E33" i="1"/>
  <c r="H33" i="1"/>
  <c r="E34" i="1" s="1"/>
  <c r="H34" i="1" s="1"/>
  <c r="E35" i="1"/>
  <c r="H35" i="1"/>
  <c r="E36" i="1" s="1"/>
  <c r="H36" i="1" s="1"/>
  <c r="E37" i="1"/>
  <c r="H37" i="1"/>
  <c r="E38" i="1" s="1"/>
  <c r="H38" i="1"/>
</calcChain>
</file>

<file path=xl/sharedStrings.xml><?xml version="1.0" encoding="utf-8"?>
<sst xmlns="http://schemas.openxmlformats.org/spreadsheetml/2006/main" count="895" uniqueCount="98">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</sst>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2" fillId="28" borderId="4" xfId="0" applyNumberFormat="1" applyFont="1" applyFill="1" applyBorder="1" applyAlignment="1">
      <alignment vertical="top"/>
    </xf>
    <xf numFmtId="0" fontId="4" fillId="28" borderId="0" xfId="0" applyNumberFormat="1" applyFont="1" applyFill="1" applyBorder="1" applyAlignment="1">
      <alignment vertical="top"/>
    </xf>
    <xf numFmtId="0" fontId="2" fillId="28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9" borderId="1" xfId="0" applyFill="1" applyBorder="1">
      <alignment vertical="center"/>
    </xf>
    <xf numFmtId="0" fontId="0" fillId="29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9" borderId="1" xfId="0" applyFill="1" applyBorder="1" applyAlignment="1">
      <alignment horizontal="left" vertical="top" indent="1"/>
    </xf>
    <xf numFmtId="0" fontId="0" fillId="29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9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Q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F18" sqref="F18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69" s="68" customFormat="1" x14ac:dyDescent="0.4">
      <c r="A1" s="69" t="s">
        <v>96</v>
      </c>
      <c r="B1" s="66"/>
      <c r="C1" s="66"/>
      <c r="D1" s="66"/>
      <c r="E1" s="67"/>
      <c r="F1" s="67"/>
      <c r="G1" s="67"/>
      <c r="H1" s="67"/>
      <c r="I1" s="66"/>
      <c r="J1" s="68" t="str">
        <f>member!$B$2</f>
        <v>member0</v>
      </c>
      <c r="N1" s="68" t="str">
        <f>member!$B$3</f>
        <v>member1</v>
      </c>
      <c r="R1" s="68" t="str">
        <f>member!$B$4</f>
        <v>member2</v>
      </c>
      <c r="V1" s="68" t="str">
        <f>member!$B$5</f>
        <v>member3</v>
      </c>
      <c r="Z1" s="68" t="str">
        <f>member!$B$6</f>
        <v>member4</v>
      </c>
    </row>
    <row r="2" spans="1:69" s="65" customFormat="1" x14ac:dyDescent="0.4">
      <c r="A2" s="63"/>
      <c r="B2" s="63"/>
      <c r="C2" s="63"/>
      <c r="D2" s="63"/>
      <c r="E2" s="64"/>
      <c r="F2" s="64"/>
      <c r="G2" s="64"/>
      <c r="H2" s="64"/>
      <c r="I2" s="63"/>
      <c r="J2" s="68" t="str">
        <f>member!$B$7</f>
        <v>member5</v>
      </c>
      <c r="K2" s="68"/>
      <c r="L2" s="68"/>
      <c r="M2" s="68"/>
      <c r="N2" s="68" t="str">
        <f>member!$B$8</f>
        <v>member6</v>
      </c>
      <c r="O2" s="68"/>
      <c r="P2" s="68"/>
      <c r="Q2" s="68"/>
      <c r="R2" s="68" t="str">
        <f>member!$B$9</f>
        <v>member7</v>
      </c>
      <c r="S2" s="68"/>
      <c r="T2" s="68"/>
      <c r="U2" s="68"/>
      <c r="V2" s="68" t="str">
        <f>member!$B$10</f>
        <v>member8</v>
      </c>
      <c r="W2" s="68"/>
      <c r="X2" s="68"/>
      <c r="Y2" s="68"/>
      <c r="Z2" s="68" t="str">
        <f>member!$B$11</f>
        <v>member9</v>
      </c>
    </row>
    <row r="3" spans="1:69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60">
        <v>5</v>
      </c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59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</row>
    <row r="4" spans="1:69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61">
        <v>2</v>
      </c>
      <c r="K4" s="61">
        <v>3</v>
      </c>
      <c r="L4" s="61">
        <v>4</v>
      </c>
      <c r="M4" s="61">
        <v>5</v>
      </c>
      <c r="N4" s="61">
        <v>6</v>
      </c>
      <c r="O4" s="61">
        <v>7</v>
      </c>
      <c r="P4" s="61">
        <v>8</v>
      </c>
      <c r="Q4" s="61">
        <v>9</v>
      </c>
      <c r="R4" s="61">
        <v>10</v>
      </c>
      <c r="S4" s="61">
        <v>11</v>
      </c>
      <c r="T4" s="61">
        <v>12</v>
      </c>
      <c r="U4" s="61">
        <v>13</v>
      </c>
      <c r="V4" s="61">
        <v>14</v>
      </c>
      <c r="W4" s="61">
        <v>15</v>
      </c>
      <c r="X4" s="61">
        <v>16</v>
      </c>
      <c r="Y4" s="61">
        <v>17</v>
      </c>
      <c r="Z4" s="61">
        <v>18</v>
      </c>
      <c r="AA4" s="61">
        <v>19</v>
      </c>
      <c r="AB4" s="61">
        <v>20</v>
      </c>
      <c r="AC4" s="61">
        <v>21</v>
      </c>
      <c r="AD4" s="61">
        <v>22</v>
      </c>
      <c r="AE4" s="61">
        <v>23</v>
      </c>
      <c r="AF4" s="57">
        <v>24</v>
      </c>
      <c r="AG4" s="61">
        <v>25</v>
      </c>
      <c r="AH4" s="61">
        <v>26</v>
      </c>
      <c r="AI4" s="61">
        <v>27</v>
      </c>
      <c r="AJ4" s="61">
        <v>28</v>
      </c>
      <c r="AK4" s="61">
        <v>29</v>
      </c>
      <c r="AL4" s="61">
        <v>30</v>
      </c>
      <c r="AM4" s="61">
        <v>31</v>
      </c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</row>
    <row r="5" spans="1:69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62" t="s">
        <v>28</v>
      </c>
      <c r="K5" s="62" t="s">
        <v>26</v>
      </c>
      <c r="L5" s="62" t="s">
        <v>31</v>
      </c>
      <c r="M5" s="62" t="s">
        <v>47</v>
      </c>
      <c r="N5" s="62" t="s">
        <v>34</v>
      </c>
      <c r="O5" s="62" t="s">
        <v>36</v>
      </c>
      <c r="P5" s="62" t="s">
        <v>38</v>
      </c>
      <c r="Q5" s="62" t="s">
        <v>28</v>
      </c>
      <c r="R5" s="62" t="s">
        <v>26</v>
      </c>
      <c r="S5" s="62" t="s">
        <v>31</v>
      </c>
      <c r="T5" s="62" t="s">
        <v>47</v>
      </c>
      <c r="U5" s="62" t="s">
        <v>34</v>
      </c>
      <c r="V5" s="62" t="s">
        <v>36</v>
      </c>
      <c r="W5" s="62" t="s">
        <v>38</v>
      </c>
      <c r="X5" s="62" t="s">
        <v>28</v>
      </c>
      <c r="Y5" s="62" t="s">
        <v>26</v>
      </c>
      <c r="Z5" s="62" t="s">
        <v>31</v>
      </c>
      <c r="AA5" s="62" t="s">
        <v>47</v>
      </c>
      <c r="AB5" s="62" t="s">
        <v>34</v>
      </c>
      <c r="AC5" s="62" t="s">
        <v>36</v>
      </c>
      <c r="AD5" s="62" t="s">
        <v>38</v>
      </c>
      <c r="AE5" s="62" t="s">
        <v>28</v>
      </c>
      <c r="AF5" s="58" t="s">
        <v>26</v>
      </c>
      <c r="AG5" s="62" t="s">
        <v>31</v>
      </c>
      <c r="AH5" s="62" t="s">
        <v>47</v>
      </c>
      <c r="AI5" s="62" t="s">
        <v>34</v>
      </c>
      <c r="AJ5" s="62" t="s">
        <v>36</v>
      </c>
      <c r="AK5" s="62" t="s">
        <v>38</v>
      </c>
      <c r="AL5" s="62" t="s">
        <v>28</v>
      </c>
      <c r="AM5" s="62" t="s">
        <v>26</v>
      </c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</row>
    <row r="6" spans="1:69" s="6" customFormat="1" x14ac:dyDescent="0.4">
      <c r="C6" s="6" t="s">
        <v>18</v>
      </c>
      <c r="E6" s="47"/>
      <c r="F6" s="47"/>
      <c r="G6" s="47"/>
      <c r="H6" s="47"/>
    </row>
    <row r="7" spans="1:69" x14ac:dyDescent="0.4">
      <c r="A7" s="7"/>
      <c r="B7" s="48">
        <v>1</v>
      </c>
      <c r="C7" s="48" t="s">
        <v>0</v>
      </c>
      <c r="D7" s="72" t="s">
        <v>1</v>
      </c>
      <c r="E7" s="72">
        <v>42492</v>
      </c>
      <c r="F7" s="73">
        <v>1</v>
      </c>
      <c r="G7" s="73">
        <v>1</v>
      </c>
      <c r="H7" s="72">
        <f>getEndDate()</f>
        <v>42492</v>
      </c>
      <c r="I7" s="90" t="s">
        <v>16</v>
      </c>
      <c r="J7" s="48"/>
      <c r="K7" s="9"/>
      <c r="L7" s="9"/>
      <c r="M7" s="9"/>
      <c r="O7" s="8"/>
      <c r="P7" s="9"/>
      <c r="V7" s="8"/>
      <c r="W7" s="9"/>
      <c r="AC7" s="8"/>
      <c r="AD7" s="9"/>
      <c r="AJ7" s="8"/>
      <c r="AK7" s="9"/>
    </row>
    <row r="8" spans="1:69" x14ac:dyDescent="0.4">
      <c r="A8" s="7"/>
      <c r="B8" s="49">
        <f>nextId(curtAddr())</f>
        <v>2</v>
      </c>
      <c r="C8" s="74" t="s">
        <v>73</v>
      </c>
      <c r="D8" s="49" t="s">
        <v>66</v>
      </c>
      <c r="E8" s="101">
        <f>getStartDate()</f>
        <v>42496</v>
      </c>
      <c r="F8" s="75">
        <v>1</v>
      </c>
      <c r="G8" s="75">
        <v>1</v>
      </c>
      <c r="H8" s="101">
        <f>getEndDate()</f>
        <v>42496</v>
      </c>
      <c r="I8" s="91" t="s">
        <v>21</v>
      </c>
      <c r="K8" s="9"/>
      <c r="L8" s="9"/>
      <c r="M8" s="9"/>
      <c r="N8" s="49"/>
      <c r="O8" s="8"/>
      <c r="P8" s="9"/>
      <c r="V8" s="8"/>
      <c r="W8" s="9"/>
      <c r="AC8" s="8"/>
      <c r="AD8" s="9"/>
      <c r="AJ8" s="8"/>
      <c r="AK8" s="9"/>
    </row>
    <row r="9" spans="1:69" x14ac:dyDescent="0.4">
      <c r="A9" s="7"/>
      <c r="B9" s="50">
        <f>nextId(curtAddr())</f>
        <v>3</v>
      </c>
      <c r="C9" s="50" t="s">
        <v>2</v>
      </c>
      <c r="D9" s="50" t="s">
        <v>3</v>
      </c>
      <c r="E9" s="102">
        <f t="shared" ref="E9:E38" si="0">getStartDate()</f>
        <v>42499</v>
      </c>
      <c r="F9" s="76">
        <v>1</v>
      </c>
      <c r="G9" s="76">
        <v>1</v>
      </c>
      <c r="H9" s="102">
        <f t="shared" ref="H9:H38" si="1">getEndDate()</f>
        <v>42499</v>
      </c>
      <c r="I9" s="92" t="s">
        <v>22</v>
      </c>
      <c r="K9" s="9"/>
      <c r="L9" s="9"/>
      <c r="M9" s="9"/>
      <c r="O9" s="8"/>
      <c r="P9" s="9"/>
      <c r="Q9" s="50"/>
      <c r="V9" s="8"/>
      <c r="W9" s="9"/>
      <c r="AC9" s="8"/>
      <c r="AD9" s="9"/>
      <c r="AJ9" s="8"/>
      <c r="AK9" s="9"/>
    </row>
    <row r="10" spans="1:69" x14ac:dyDescent="0.4">
      <c r="A10" s="7"/>
      <c r="B10" s="51">
        <f>nextId(curtAddr())</f>
        <v>4</v>
      </c>
      <c r="C10" s="77" t="s">
        <v>4</v>
      </c>
      <c r="D10" s="51" t="s">
        <v>5</v>
      </c>
      <c r="E10" s="103">
        <f t="shared" si="0"/>
        <v>42500</v>
      </c>
      <c r="F10" s="78">
        <v>1</v>
      </c>
      <c r="G10" s="78">
        <v>1</v>
      </c>
      <c r="H10" s="103">
        <f>getEndDate()</f>
        <v>42500</v>
      </c>
      <c r="I10" s="93" t="s">
        <v>94</v>
      </c>
      <c r="K10" s="9"/>
      <c r="L10" s="9"/>
      <c r="M10" s="9"/>
      <c r="O10" s="8"/>
      <c r="P10" s="9"/>
      <c r="R10" s="51"/>
      <c r="V10" s="8"/>
      <c r="W10" s="9"/>
      <c r="AC10" s="8"/>
      <c r="AD10" s="9"/>
      <c r="AJ10" s="8"/>
      <c r="AK10" s="9"/>
    </row>
    <row r="11" spans="1:69" x14ac:dyDescent="0.4">
      <c r="A11" s="7"/>
      <c r="B11" s="45">
        <f>nextId(curtAddr())</f>
        <v>5</v>
      </c>
      <c r="C11" s="79" t="s">
        <v>6</v>
      </c>
      <c r="D11" s="45" t="s">
        <v>7</v>
      </c>
      <c r="E11" s="104">
        <f t="shared" si="0"/>
        <v>42501</v>
      </c>
      <c r="F11" s="80">
        <v>1</v>
      </c>
      <c r="G11" s="80">
        <v>1</v>
      </c>
      <c r="H11" s="104">
        <f t="shared" si="1"/>
        <v>42501</v>
      </c>
      <c r="I11" s="94" t="s">
        <v>23</v>
      </c>
      <c r="K11" s="9"/>
      <c r="L11" s="9"/>
      <c r="M11" s="9"/>
      <c r="O11" s="8"/>
      <c r="P11" s="9"/>
      <c r="S11" s="45"/>
      <c r="V11" s="8"/>
      <c r="W11" s="9"/>
      <c r="AC11" s="8"/>
      <c r="AD11" s="9"/>
      <c r="AJ11" s="8"/>
      <c r="AK11" s="9"/>
    </row>
    <row r="12" spans="1:69" x14ac:dyDescent="0.4">
      <c r="A12" s="7"/>
      <c r="B12" s="52">
        <f>nextId(curtAddr())</f>
        <v>6</v>
      </c>
      <c r="C12" s="81" t="s">
        <v>8</v>
      </c>
      <c r="D12" s="52" t="s">
        <v>9</v>
      </c>
      <c r="E12" s="100">
        <f t="shared" si="0"/>
        <v>42502</v>
      </c>
      <c r="F12" s="82">
        <v>1</v>
      </c>
      <c r="G12" s="82">
        <v>1</v>
      </c>
      <c r="H12" s="100">
        <f t="shared" si="1"/>
        <v>42502</v>
      </c>
      <c r="I12" s="95" t="s">
        <v>69</v>
      </c>
      <c r="K12" s="9"/>
      <c r="L12" s="9"/>
      <c r="M12" s="9"/>
      <c r="O12" s="8"/>
      <c r="P12" s="9"/>
      <c r="T12" s="52"/>
      <c r="V12" s="8"/>
      <c r="W12" s="9"/>
      <c r="AC12" s="8"/>
      <c r="AD12" s="9"/>
      <c r="AJ12" s="8"/>
      <c r="AK12" s="9"/>
    </row>
    <row r="13" spans="1:69" x14ac:dyDescent="0.4">
      <c r="A13" s="7"/>
      <c r="B13" s="71">
        <f>nextId(curtAddr())</f>
        <v>7</v>
      </c>
      <c r="C13" s="83" t="s">
        <v>6</v>
      </c>
      <c r="D13" s="71" t="s">
        <v>10</v>
      </c>
      <c r="E13" s="105">
        <f t="shared" si="0"/>
        <v>42503</v>
      </c>
      <c r="F13" s="84">
        <v>1</v>
      </c>
      <c r="G13" s="84">
        <v>1</v>
      </c>
      <c r="H13" s="105">
        <f t="shared" si="1"/>
        <v>42503</v>
      </c>
      <c r="I13" s="96" t="s">
        <v>72</v>
      </c>
      <c r="K13" s="9"/>
      <c r="L13" s="9"/>
      <c r="M13" s="9"/>
      <c r="O13" s="8"/>
      <c r="P13" s="9"/>
      <c r="U13" s="71"/>
      <c r="V13" s="8"/>
      <c r="W13" s="9"/>
      <c r="AC13" s="8"/>
      <c r="AD13" s="9"/>
      <c r="AJ13" s="8"/>
      <c r="AK13" s="9"/>
    </row>
    <row r="14" spans="1:69" x14ac:dyDescent="0.4">
      <c r="A14" s="7"/>
      <c r="B14" s="53">
        <f>nextId(curtAddr())</f>
        <v>8</v>
      </c>
      <c r="C14" s="85" t="s">
        <v>8</v>
      </c>
      <c r="D14" s="53" t="s">
        <v>11</v>
      </c>
      <c r="E14" s="106">
        <f t="shared" si="0"/>
        <v>42506</v>
      </c>
      <c r="F14" s="86">
        <v>1</v>
      </c>
      <c r="G14" s="86">
        <v>1</v>
      </c>
      <c r="H14" s="106">
        <f t="shared" si="1"/>
        <v>42506</v>
      </c>
      <c r="I14" s="97" t="s">
        <v>17</v>
      </c>
      <c r="K14" s="9"/>
      <c r="L14" s="9"/>
      <c r="M14" s="9"/>
      <c r="O14" s="8"/>
      <c r="P14" s="9"/>
      <c r="V14" s="8"/>
      <c r="W14" s="9"/>
      <c r="X14" s="53"/>
      <c r="AC14" s="8"/>
      <c r="AD14" s="9"/>
      <c r="AJ14" s="8"/>
      <c r="AK14" s="9"/>
    </row>
    <row r="15" spans="1:69" x14ac:dyDescent="0.4">
      <c r="A15" s="7"/>
      <c r="B15" s="54">
        <f>nextId(curtAddr())</f>
        <v>9</v>
      </c>
      <c r="C15" s="87" t="s">
        <v>12</v>
      </c>
      <c r="D15" s="54" t="s">
        <v>13</v>
      </c>
      <c r="E15" s="107">
        <f t="shared" si="0"/>
        <v>42507</v>
      </c>
      <c r="F15" s="88">
        <v>1</v>
      </c>
      <c r="G15" s="88">
        <v>1</v>
      </c>
      <c r="H15" s="107">
        <f t="shared" si="1"/>
        <v>42507</v>
      </c>
      <c r="I15" s="98" t="s">
        <v>70</v>
      </c>
      <c r="K15" s="9"/>
      <c r="L15" s="9"/>
      <c r="M15" s="9"/>
      <c r="O15" s="8"/>
      <c r="P15" s="9"/>
      <c r="V15" s="8"/>
      <c r="W15" s="9"/>
      <c r="Y15" s="54"/>
      <c r="AC15" s="8"/>
      <c r="AD15" s="9"/>
      <c r="AJ15" s="8"/>
      <c r="AK15" s="9"/>
    </row>
    <row r="16" spans="1:69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8">
        <f t="shared" si="0"/>
        <v>42508</v>
      </c>
      <c r="F16" s="89">
        <v>1</v>
      </c>
      <c r="G16" s="89">
        <v>1</v>
      </c>
      <c r="H16" s="108">
        <f t="shared" si="1"/>
        <v>42508</v>
      </c>
      <c r="I16" s="99" t="s">
        <v>67</v>
      </c>
      <c r="K16" s="9"/>
      <c r="L16" s="9"/>
      <c r="M16" s="9"/>
      <c r="O16" s="8"/>
      <c r="P16" s="9"/>
      <c r="V16" s="8"/>
      <c r="W16" s="9"/>
      <c r="Z16" s="55"/>
      <c r="AC16" s="8"/>
      <c r="AD16" s="9"/>
      <c r="AJ16" s="8"/>
      <c r="AK16" s="9"/>
    </row>
    <row r="17" spans="1:46" s="6" customFormat="1" x14ac:dyDescent="0.4">
      <c r="C17" s="6" t="s">
        <v>18</v>
      </c>
      <c r="E17" s="47"/>
      <c r="F17" s="47"/>
      <c r="G17" s="47"/>
      <c r="H17" s="47"/>
    </row>
    <row r="18" spans="1:46" x14ac:dyDescent="0.4">
      <c r="A18" s="7"/>
      <c r="B18" s="48">
        <f>nextId(curtAddr())</f>
        <v>11</v>
      </c>
      <c r="C18" s="48" t="s">
        <v>0</v>
      </c>
      <c r="D18" s="48" t="s">
        <v>1</v>
      </c>
      <c r="E18" s="72">
        <f t="shared" si="0"/>
        <v>42509</v>
      </c>
      <c r="F18" s="73">
        <v>1</v>
      </c>
      <c r="G18" s="73">
        <v>1</v>
      </c>
      <c r="H18" s="72">
        <f t="shared" si="1"/>
        <v>42509</v>
      </c>
      <c r="I18" s="90" t="s">
        <v>16</v>
      </c>
      <c r="K18" s="9"/>
      <c r="L18" s="9"/>
      <c r="M18" s="9"/>
      <c r="O18" s="8"/>
      <c r="P18" s="9"/>
      <c r="V18" s="8"/>
      <c r="W18" s="9"/>
      <c r="AA18" s="48"/>
      <c r="AC18" s="8"/>
      <c r="AD18" s="9"/>
      <c r="AJ18" s="8"/>
      <c r="AK18" s="9"/>
    </row>
    <row r="19" spans="1:46" x14ac:dyDescent="0.4">
      <c r="A19" s="7"/>
      <c r="B19" s="49">
        <f>nextId(curtAddr())</f>
        <v>12</v>
      </c>
      <c r="C19" s="74" t="s">
        <v>73</v>
      </c>
      <c r="D19" s="49" t="s">
        <v>66</v>
      </c>
      <c r="E19" s="101">
        <f t="shared" si="0"/>
        <v>42510</v>
      </c>
      <c r="F19" s="75">
        <v>1</v>
      </c>
      <c r="G19" s="75">
        <v>1</v>
      </c>
      <c r="H19" s="101">
        <f t="shared" si="1"/>
        <v>42510</v>
      </c>
      <c r="I19" s="91" t="s">
        <v>21</v>
      </c>
      <c r="K19" s="9"/>
      <c r="L19" s="9"/>
      <c r="M19" s="9"/>
      <c r="O19" s="8"/>
      <c r="P19" s="9"/>
      <c r="V19" s="8"/>
      <c r="W19" s="9"/>
      <c r="AB19" s="49"/>
      <c r="AC19" s="8"/>
      <c r="AD19" s="9"/>
      <c r="AJ19" s="8"/>
      <c r="AK19" s="9"/>
    </row>
    <row r="20" spans="1:46" x14ac:dyDescent="0.4">
      <c r="A20" s="7"/>
      <c r="B20" s="50">
        <f>nextId(curtAddr())</f>
        <v>13</v>
      </c>
      <c r="C20" s="50" t="s">
        <v>2</v>
      </c>
      <c r="D20" s="50" t="s">
        <v>3</v>
      </c>
      <c r="E20" s="102">
        <f t="shared" si="0"/>
        <v>42513</v>
      </c>
      <c r="F20" s="76">
        <v>1</v>
      </c>
      <c r="G20" s="76">
        <v>1</v>
      </c>
      <c r="H20" s="102">
        <f t="shared" si="1"/>
        <v>42513</v>
      </c>
      <c r="I20" s="92" t="s">
        <v>22</v>
      </c>
      <c r="K20" s="9"/>
      <c r="L20" s="9"/>
      <c r="M20" s="9"/>
      <c r="O20" s="8"/>
      <c r="P20" s="9"/>
      <c r="V20" s="8"/>
      <c r="W20" s="9"/>
      <c r="AC20" s="8"/>
      <c r="AD20" s="9"/>
      <c r="AE20" s="50"/>
      <c r="AJ20" s="8"/>
      <c r="AK20" s="9"/>
    </row>
    <row r="21" spans="1:46" x14ac:dyDescent="0.4">
      <c r="A21" s="7"/>
      <c r="B21" s="51">
        <f>nextId(curtAddr())</f>
        <v>14</v>
      </c>
      <c r="C21" s="77" t="s">
        <v>4</v>
      </c>
      <c r="D21" s="51" t="s">
        <v>5</v>
      </c>
      <c r="E21" s="103">
        <f t="shared" si="0"/>
        <v>42514</v>
      </c>
      <c r="F21" s="78">
        <v>1</v>
      </c>
      <c r="G21" s="78">
        <v>1</v>
      </c>
      <c r="H21" s="103">
        <f t="shared" si="1"/>
        <v>42514</v>
      </c>
      <c r="I21" s="93" t="s">
        <v>94</v>
      </c>
      <c r="K21" s="9"/>
      <c r="L21" s="9"/>
      <c r="M21" s="9"/>
      <c r="O21" s="8"/>
      <c r="P21" s="9"/>
      <c r="V21" s="8"/>
      <c r="W21" s="9"/>
      <c r="AC21" s="8"/>
      <c r="AD21" s="9"/>
      <c r="AF21" s="51"/>
      <c r="AJ21" s="8"/>
      <c r="AK21" s="9"/>
    </row>
    <row r="22" spans="1:46" x14ac:dyDescent="0.4">
      <c r="A22" s="7"/>
      <c r="B22" s="45">
        <f>nextId(curtAddr())</f>
        <v>15</v>
      </c>
      <c r="C22" s="79" t="s">
        <v>6</v>
      </c>
      <c r="D22" s="45" t="s">
        <v>7</v>
      </c>
      <c r="E22" s="104">
        <f t="shared" si="0"/>
        <v>42515</v>
      </c>
      <c r="F22" s="80">
        <v>1</v>
      </c>
      <c r="G22" s="80">
        <v>1</v>
      </c>
      <c r="H22" s="104">
        <f t="shared" si="1"/>
        <v>42515</v>
      </c>
      <c r="I22" s="94" t="s">
        <v>23</v>
      </c>
      <c r="K22" s="9"/>
      <c r="L22" s="9"/>
      <c r="M22" s="9"/>
      <c r="O22" s="8"/>
      <c r="P22" s="9"/>
      <c r="V22" s="8"/>
      <c r="W22" s="9"/>
      <c r="AC22" s="8"/>
      <c r="AD22" s="9"/>
      <c r="AG22" s="45"/>
      <c r="AJ22" s="8"/>
      <c r="AK22" s="9"/>
    </row>
    <row r="23" spans="1:46" x14ac:dyDescent="0.4">
      <c r="A23" s="7"/>
      <c r="B23" s="52">
        <f>nextId(curtAddr())</f>
        <v>16</v>
      </c>
      <c r="C23" s="81" t="s">
        <v>8</v>
      </c>
      <c r="D23" s="52" t="s">
        <v>9</v>
      </c>
      <c r="E23" s="100">
        <f t="shared" si="0"/>
        <v>42516</v>
      </c>
      <c r="F23" s="82">
        <v>1</v>
      </c>
      <c r="G23" s="82">
        <v>1</v>
      </c>
      <c r="H23" s="100">
        <f>getEndDate()</f>
        <v>42516</v>
      </c>
      <c r="I23" s="95" t="s">
        <v>69</v>
      </c>
      <c r="K23" s="9"/>
      <c r="L23" s="9"/>
      <c r="M23" s="9"/>
      <c r="O23" s="8"/>
      <c r="P23" s="9"/>
      <c r="V23" s="8"/>
      <c r="W23" s="9"/>
      <c r="AC23" s="8"/>
      <c r="AD23" s="9"/>
      <c r="AH23" s="52"/>
      <c r="AJ23" s="8"/>
      <c r="AK23" s="9"/>
    </row>
    <row r="24" spans="1:46" x14ac:dyDescent="0.4">
      <c r="A24" s="7"/>
      <c r="B24" s="71">
        <f>nextId(curtAddr())</f>
        <v>17</v>
      </c>
      <c r="C24" s="83" t="s">
        <v>6</v>
      </c>
      <c r="D24" s="71" t="s">
        <v>10</v>
      </c>
      <c r="E24" s="105">
        <f>getStartDate()</f>
        <v>42517</v>
      </c>
      <c r="F24" s="84">
        <v>1</v>
      </c>
      <c r="G24" s="84">
        <v>1</v>
      </c>
      <c r="H24" s="105">
        <f t="shared" si="1"/>
        <v>42517</v>
      </c>
      <c r="I24" s="96" t="s">
        <v>72</v>
      </c>
      <c r="K24" s="9"/>
      <c r="L24" s="9"/>
      <c r="M24" s="9"/>
      <c r="O24" s="8"/>
      <c r="P24" s="9"/>
      <c r="V24" s="8"/>
      <c r="W24" s="9"/>
      <c r="AC24" s="8"/>
      <c r="AD24" s="9"/>
      <c r="AI24" s="71"/>
      <c r="AJ24" s="8"/>
      <c r="AK24" s="9"/>
    </row>
    <row r="25" spans="1:46" x14ac:dyDescent="0.4">
      <c r="A25" s="7"/>
      <c r="B25" s="53">
        <f>nextId(curtAddr())</f>
        <v>18</v>
      </c>
      <c r="C25" s="85" t="s">
        <v>8</v>
      </c>
      <c r="D25" s="53" t="s">
        <v>11</v>
      </c>
      <c r="E25" s="106">
        <f t="shared" si="0"/>
        <v>42520</v>
      </c>
      <c r="F25" s="86">
        <v>1</v>
      </c>
      <c r="G25" s="86">
        <v>1</v>
      </c>
      <c r="H25" s="106">
        <f t="shared" si="1"/>
        <v>42520</v>
      </c>
      <c r="I25" s="97" t="s">
        <v>17</v>
      </c>
      <c r="K25" s="9"/>
      <c r="L25" s="9"/>
      <c r="M25" s="9"/>
      <c r="O25" s="8"/>
      <c r="P25" s="9"/>
      <c r="V25" s="8"/>
      <c r="W25" s="9"/>
      <c r="AC25" s="8"/>
      <c r="AD25" s="9"/>
      <c r="AJ25" s="8"/>
      <c r="AK25" s="9"/>
      <c r="AL25" s="53"/>
    </row>
    <row r="26" spans="1:46" x14ac:dyDescent="0.4">
      <c r="A26" s="7"/>
      <c r="B26" s="54">
        <f>nextId(curtAddr())</f>
        <v>19</v>
      </c>
      <c r="C26" s="87" t="s">
        <v>12</v>
      </c>
      <c r="D26" s="54" t="s">
        <v>13</v>
      </c>
      <c r="E26" s="107">
        <f t="shared" si="0"/>
        <v>42521</v>
      </c>
      <c r="F26" s="88">
        <v>1</v>
      </c>
      <c r="G26" s="88">
        <v>1</v>
      </c>
      <c r="H26" s="107">
        <f t="shared" si="1"/>
        <v>42521</v>
      </c>
      <c r="I26" s="98" t="s">
        <v>70</v>
      </c>
      <c r="K26" s="9"/>
      <c r="L26" s="9"/>
      <c r="M26" s="9"/>
      <c r="O26" s="8"/>
      <c r="P26" s="9"/>
      <c r="V26" s="8"/>
      <c r="W26" s="9"/>
      <c r="AC26" s="8"/>
      <c r="AD26" s="9"/>
      <c r="AJ26" s="8"/>
      <c r="AK26" s="9"/>
      <c r="AM26" s="54"/>
    </row>
    <row r="27" spans="1:46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8">
        <f t="shared" si="0"/>
        <v>42522</v>
      </c>
      <c r="F27" s="89">
        <v>1</v>
      </c>
      <c r="G27" s="89">
        <v>1</v>
      </c>
      <c r="H27" s="108">
        <f t="shared" si="1"/>
        <v>42522</v>
      </c>
      <c r="I27" s="99" t="s">
        <v>67</v>
      </c>
      <c r="K27" s="9"/>
      <c r="L27" s="9"/>
      <c r="M27" s="9"/>
      <c r="O27" s="8"/>
      <c r="P27" s="9"/>
      <c r="V27" s="8"/>
      <c r="W27" s="9"/>
      <c r="AC27" s="8"/>
      <c r="AD27" s="9"/>
      <c r="AJ27" s="8"/>
      <c r="AK27" s="9"/>
      <c r="AN27" s="55"/>
    </row>
    <row r="28" spans="1:46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46" x14ac:dyDescent="0.4">
      <c r="A29" s="7"/>
      <c r="B29" s="48">
        <f>nextId(curtAddr())</f>
        <v>21</v>
      </c>
      <c r="C29" s="48" t="s">
        <v>0</v>
      </c>
      <c r="D29" s="48" t="s">
        <v>1</v>
      </c>
      <c r="E29" s="72">
        <f t="shared" si="0"/>
        <v>42523</v>
      </c>
      <c r="F29" s="73">
        <v>1</v>
      </c>
      <c r="G29" s="73">
        <v>1</v>
      </c>
      <c r="H29" s="72">
        <f t="shared" si="1"/>
        <v>42523</v>
      </c>
      <c r="I29" s="90" t="s">
        <v>16</v>
      </c>
      <c r="K29" s="9"/>
      <c r="L29" s="9"/>
      <c r="M29" s="9"/>
      <c r="O29" s="8"/>
      <c r="P29" s="9"/>
      <c r="V29" s="8"/>
      <c r="W29" s="9"/>
      <c r="AC29" s="8"/>
      <c r="AD29" s="9"/>
      <c r="AJ29" s="8"/>
      <c r="AK29" s="9"/>
      <c r="AO29" s="48"/>
    </row>
    <row r="30" spans="1:46" x14ac:dyDescent="0.4">
      <c r="A30" s="7"/>
      <c r="B30" s="49">
        <f>nextId(curtAddr())</f>
        <v>22</v>
      </c>
      <c r="C30" s="74" t="s">
        <v>73</v>
      </c>
      <c r="D30" s="49" t="s">
        <v>66</v>
      </c>
      <c r="E30" s="101">
        <f t="shared" si="0"/>
        <v>42524</v>
      </c>
      <c r="F30" s="75">
        <v>1</v>
      </c>
      <c r="G30" s="75">
        <v>1</v>
      </c>
      <c r="H30" s="101">
        <f t="shared" si="1"/>
        <v>42524</v>
      </c>
      <c r="I30" s="91" t="s">
        <v>21</v>
      </c>
      <c r="K30" s="9"/>
      <c r="L30" s="9"/>
      <c r="M30" s="9"/>
      <c r="O30" s="8"/>
      <c r="P30" s="9"/>
      <c r="V30" s="8"/>
      <c r="W30" s="9"/>
      <c r="AC30" s="8"/>
      <c r="AD30" s="9"/>
      <c r="AJ30" s="8"/>
      <c r="AK30" s="9"/>
      <c r="AP30" s="49"/>
    </row>
    <row r="31" spans="1:46" x14ac:dyDescent="0.4">
      <c r="A31" s="7"/>
      <c r="B31" s="50">
        <f>nextId(curtAddr())</f>
        <v>23</v>
      </c>
      <c r="C31" s="50" t="s">
        <v>2</v>
      </c>
      <c r="D31" s="50" t="s">
        <v>3</v>
      </c>
      <c r="E31" s="102">
        <f t="shared" si="0"/>
        <v>42527</v>
      </c>
      <c r="F31" s="76">
        <v>1</v>
      </c>
      <c r="G31" s="76">
        <v>1</v>
      </c>
      <c r="H31" s="102">
        <f t="shared" si="1"/>
        <v>42527</v>
      </c>
      <c r="I31" s="92" t="s">
        <v>22</v>
      </c>
      <c r="K31" s="9"/>
      <c r="L31" s="9"/>
      <c r="M31" s="9"/>
      <c r="O31" s="8"/>
      <c r="P31" s="9"/>
      <c r="V31" s="8"/>
      <c r="W31" s="9"/>
      <c r="AC31" s="8"/>
      <c r="AD31" s="9"/>
      <c r="AJ31" s="8"/>
      <c r="AK31" s="9"/>
      <c r="AS31" s="50"/>
    </row>
    <row r="32" spans="1:46" x14ac:dyDescent="0.4">
      <c r="A32" s="7"/>
      <c r="B32" s="51">
        <f>nextId(curtAddr())</f>
        <v>24</v>
      </c>
      <c r="C32" s="77" t="s">
        <v>4</v>
      </c>
      <c r="D32" s="51" t="s">
        <v>5</v>
      </c>
      <c r="E32" s="103">
        <f t="shared" si="0"/>
        <v>42528</v>
      </c>
      <c r="F32" s="78">
        <v>1</v>
      </c>
      <c r="G32" s="78">
        <v>1</v>
      </c>
      <c r="H32" s="103">
        <f t="shared" si="1"/>
        <v>42528</v>
      </c>
      <c r="I32" s="93" t="s">
        <v>94</v>
      </c>
      <c r="K32" s="9"/>
      <c r="L32" s="9"/>
      <c r="M32" s="9"/>
      <c r="O32" s="8"/>
      <c r="P32" s="9"/>
      <c r="V32" s="8"/>
      <c r="W32" s="9"/>
      <c r="AC32" s="8"/>
      <c r="AD32" s="9"/>
      <c r="AJ32" s="8"/>
      <c r="AK32" s="9"/>
      <c r="AT32" s="51"/>
    </row>
    <row r="33" spans="1:54" x14ac:dyDescent="0.4">
      <c r="A33" s="7"/>
      <c r="B33" s="45">
        <f>nextId(curtAddr())</f>
        <v>25</v>
      </c>
      <c r="C33" s="79" t="s">
        <v>6</v>
      </c>
      <c r="D33" s="45" t="s">
        <v>7</v>
      </c>
      <c r="E33" s="104">
        <f t="shared" si="0"/>
        <v>42529</v>
      </c>
      <c r="F33" s="80">
        <v>1</v>
      </c>
      <c r="G33" s="80">
        <v>1</v>
      </c>
      <c r="H33" s="104">
        <f t="shared" si="1"/>
        <v>42529</v>
      </c>
      <c r="I33" s="94" t="s">
        <v>23</v>
      </c>
      <c r="K33" s="9"/>
      <c r="L33" s="9"/>
      <c r="M33" s="9"/>
      <c r="O33" s="8"/>
      <c r="P33" s="9"/>
      <c r="V33" s="8"/>
      <c r="W33" s="9"/>
      <c r="AC33" s="8"/>
      <c r="AD33" s="9"/>
      <c r="AJ33" s="8"/>
      <c r="AK33" s="9"/>
      <c r="AU33" s="45"/>
    </row>
    <row r="34" spans="1:54" x14ac:dyDescent="0.4">
      <c r="A34" s="7"/>
      <c r="B34" s="52">
        <f>nextId(curtAddr())</f>
        <v>26</v>
      </c>
      <c r="C34" s="81" t="s">
        <v>8</v>
      </c>
      <c r="D34" s="52" t="s">
        <v>9</v>
      </c>
      <c r="E34" s="100">
        <f t="shared" si="0"/>
        <v>42530</v>
      </c>
      <c r="F34" s="82">
        <v>1</v>
      </c>
      <c r="G34" s="82">
        <v>1</v>
      </c>
      <c r="H34" s="100">
        <f t="shared" si="1"/>
        <v>42530</v>
      </c>
      <c r="I34" s="95" t="s">
        <v>69</v>
      </c>
      <c r="K34" s="9"/>
      <c r="L34" s="9"/>
      <c r="M34" s="9"/>
      <c r="O34" s="8"/>
      <c r="P34" s="9"/>
      <c r="V34" s="8"/>
      <c r="W34" s="9"/>
      <c r="AC34" s="8"/>
      <c r="AD34" s="9"/>
      <c r="AJ34" s="8"/>
      <c r="AK34" s="9"/>
      <c r="AV34" s="52"/>
    </row>
    <row r="35" spans="1:54" x14ac:dyDescent="0.4">
      <c r="A35" s="7"/>
      <c r="B35" s="71">
        <f>nextId(curtAddr())</f>
        <v>27</v>
      </c>
      <c r="C35" s="83" t="s">
        <v>6</v>
      </c>
      <c r="D35" s="71" t="s">
        <v>10</v>
      </c>
      <c r="E35" s="105">
        <f t="shared" si="0"/>
        <v>42531</v>
      </c>
      <c r="F35" s="84">
        <v>1</v>
      </c>
      <c r="G35" s="84">
        <v>1</v>
      </c>
      <c r="H35" s="105">
        <f t="shared" si="1"/>
        <v>42531</v>
      </c>
      <c r="I35" s="96" t="s">
        <v>72</v>
      </c>
      <c r="K35" s="9"/>
      <c r="L35" s="9"/>
      <c r="M35" s="9"/>
      <c r="O35" s="8"/>
      <c r="P35" s="9"/>
      <c r="V35" s="8"/>
      <c r="W35" s="9"/>
      <c r="AC35" s="8"/>
      <c r="AD35" s="9"/>
      <c r="AJ35" s="8"/>
      <c r="AK35" s="9"/>
      <c r="AW35" s="71"/>
    </row>
    <row r="36" spans="1:54" x14ac:dyDescent="0.4">
      <c r="A36" s="7"/>
      <c r="B36" s="53">
        <f>nextId(curtAddr())</f>
        <v>28</v>
      </c>
      <c r="C36" s="85" t="s">
        <v>8</v>
      </c>
      <c r="D36" s="53" t="s">
        <v>11</v>
      </c>
      <c r="E36" s="106">
        <f t="shared" si="0"/>
        <v>42534</v>
      </c>
      <c r="F36" s="86">
        <v>1</v>
      </c>
      <c r="G36" s="86">
        <v>1</v>
      </c>
      <c r="H36" s="106">
        <f t="shared" si="1"/>
        <v>42534</v>
      </c>
      <c r="I36" s="97" t="s">
        <v>17</v>
      </c>
      <c r="K36" s="9"/>
      <c r="L36" s="9"/>
      <c r="M36" s="9"/>
      <c r="O36" s="8"/>
      <c r="P36" s="9"/>
      <c r="V36" s="8"/>
      <c r="W36" s="9"/>
      <c r="AC36" s="8"/>
      <c r="AD36" s="9"/>
      <c r="AJ36" s="8"/>
      <c r="AK36" s="9"/>
      <c r="AZ36" s="53"/>
    </row>
    <row r="37" spans="1:54" x14ac:dyDescent="0.4">
      <c r="A37" s="7"/>
      <c r="B37" s="54">
        <f>nextId(curtAddr())</f>
        <v>29</v>
      </c>
      <c r="C37" s="87" t="s">
        <v>12</v>
      </c>
      <c r="D37" s="54" t="s">
        <v>13</v>
      </c>
      <c r="E37" s="107">
        <f t="shared" si="0"/>
        <v>42535</v>
      </c>
      <c r="F37" s="88">
        <v>1</v>
      </c>
      <c r="G37" s="88">
        <v>1</v>
      </c>
      <c r="H37" s="107">
        <f t="shared" si="1"/>
        <v>42535</v>
      </c>
      <c r="I37" s="98" t="s">
        <v>70</v>
      </c>
      <c r="K37" s="9"/>
      <c r="L37" s="9"/>
      <c r="M37" s="9"/>
      <c r="O37" s="8"/>
      <c r="P37" s="9"/>
      <c r="V37" s="8"/>
      <c r="W37" s="9"/>
      <c r="AC37" s="8"/>
      <c r="AD37" s="9"/>
      <c r="AJ37" s="8"/>
      <c r="AK37" s="9"/>
      <c r="BA37" s="54"/>
    </row>
    <row r="38" spans="1:54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8">
        <f t="shared" si="0"/>
        <v>42536</v>
      </c>
      <c r="F38" s="89">
        <v>1</v>
      </c>
      <c r="G38" s="89">
        <v>1</v>
      </c>
      <c r="H38" s="108">
        <f t="shared" si="1"/>
        <v>42536</v>
      </c>
      <c r="I38" s="99" t="s">
        <v>67</v>
      </c>
      <c r="K38" s="9"/>
      <c r="L38" s="9"/>
      <c r="M38" s="9"/>
      <c r="O38" s="8"/>
      <c r="P38" s="9"/>
      <c r="V38" s="8"/>
      <c r="W38" s="9"/>
      <c r="AC38" s="8"/>
      <c r="AD38" s="9"/>
      <c r="AJ38" s="8"/>
      <c r="AK38" s="9"/>
      <c r="BB38" s="55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47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F11" sqref="F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70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B5" sqref="B5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2016-05-24T02:24:03Z</dcterms:modified>
  <cp:contentStatus/>
</cp:coreProperties>
</file>