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main!$A$1:$BK$38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B8" i="1"/>
  <c r="E8" i="1"/>
  <c r="H8" i="1"/>
  <c r="E9" i="1" s="1"/>
  <c r="H9" i="1" s="1"/>
  <c r="A3" i="3"/>
  <c r="A3" i="4"/>
  <c r="A4" i="3"/>
  <c r="A5" i="3"/>
  <c r="A6" i="3" s="1"/>
  <c r="A7" i="3" s="1"/>
  <c r="A8" i="3" s="1"/>
  <c r="A9" i="3" s="1"/>
  <c r="A10" i="3" s="1"/>
  <c r="A4" i="4"/>
  <c r="A5" i="4"/>
  <c r="A6" i="4" s="1"/>
  <c r="A7" i="4" s="1"/>
  <c r="A8" i="4" s="1"/>
  <c r="A9" i="4" s="1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10" i="4"/>
  <c r="A11" i="4"/>
  <c r="A12" i="4"/>
  <c r="E10" i="1"/>
  <c r="B9" i="1"/>
  <c r="B10" i="1" s="1"/>
  <c r="B11" i="1"/>
  <c r="B12" i="1" s="1"/>
  <c r="H10" i="1"/>
  <c r="E11" i="1" s="1"/>
  <c r="H11" i="1" s="1"/>
  <c r="E12" i="1"/>
  <c r="B13" i="1"/>
  <c r="B14" i="1" s="1"/>
  <c r="B15" i="1"/>
  <c r="B16" i="1" s="1"/>
  <c r="B18" i="1" s="1"/>
  <c r="H12" i="1"/>
  <c r="E13" i="1" s="1"/>
  <c r="H13" i="1" s="1"/>
  <c r="B19" i="1"/>
  <c r="B20" i="1"/>
  <c r="B21" i="1"/>
  <c r="B22" i="1"/>
  <c r="B23" i="1"/>
  <c r="B24" i="1" s="1"/>
  <c r="B25" i="1"/>
  <c r="B26" i="1" s="1"/>
  <c r="E14" i="1"/>
  <c r="H14" i="1"/>
  <c r="E15" i="1" s="1"/>
  <c r="H15" i="1" s="1"/>
  <c r="B27" i="1"/>
  <c r="B29" i="1" s="1"/>
  <c r="B30" i="1" s="1"/>
  <c r="B31" i="1"/>
  <c r="B32" i="1" s="1"/>
  <c r="E16" i="1"/>
  <c r="H16" i="1" s="1"/>
  <c r="E18" i="1" s="1"/>
  <c r="H18" i="1" s="1"/>
  <c r="E19" i="1"/>
  <c r="B33" i="1"/>
  <c r="B34" i="1" s="1"/>
  <c r="H19" i="1"/>
  <c r="E20" i="1" s="1"/>
  <c r="H20" i="1" s="1"/>
  <c r="B35" i="1"/>
  <c r="B36" i="1" s="1"/>
  <c r="B37" i="1"/>
  <c r="B38" i="1" s="1"/>
  <c r="E21" i="1"/>
  <c r="H21" i="1"/>
  <c r="E22" i="1" s="1"/>
  <c r="H22" i="1" s="1"/>
  <c r="E23" i="1"/>
  <c r="H23" i="1"/>
  <c r="E24" i="1" s="1"/>
  <c r="H24" i="1" s="1"/>
  <c r="E25" i="1"/>
  <c r="H25" i="1"/>
  <c r="E26" i="1" s="1"/>
  <c r="H26" i="1" s="1"/>
  <c r="E27" i="1"/>
  <c r="H27" i="1" s="1"/>
  <c r="E29" i="1" s="1"/>
  <c r="H29" i="1" s="1"/>
  <c r="E30" i="1"/>
  <c r="H30" i="1"/>
  <c r="E31" i="1" s="1"/>
  <c r="H31" i="1" s="1"/>
  <c r="E32" i="1"/>
  <c r="H32" i="1"/>
  <c r="E33" i="1" s="1"/>
  <c r="H33" i="1" s="1"/>
  <c r="E34" i="1"/>
  <c r="H34" i="1"/>
  <c r="E35" i="1" s="1"/>
  <c r="H35" i="1" s="1"/>
  <c r="E36" i="1"/>
  <c r="H36" i="1"/>
  <c r="E37" i="1" s="1"/>
  <c r="H37" i="1" s="1"/>
  <c r="E38" i="1"/>
  <c r="H38" i="1" s="1"/>
</calcChain>
</file>

<file path=xl/sharedStrings.xml><?xml version="1.0" encoding="utf-8"?>
<sst xmlns="http://schemas.openxmlformats.org/spreadsheetml/2006/main" count="908" uniqueCount="98">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</sst>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8" borderId="1" xfId="0" applyFill="1" applyBorder="1">
      <alignment vertical="center"/>
    </xf>
    <xf numFmtId="0" fontId="0" fillId="28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8" borderId="1" xfId="0" applyFill="1" applyBorder="1" applyAlignment="1">
      <alignment horizontal="left" vertical="top" indent="1"/>
    </xf>
    <xf numFmtId="0" fontId="0" fillId="28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8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F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A13" sqref="A13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174" s="65" customFormat="1" x14ac:dyDescent="0.4">
      <c r="A1" s="66" t="s">
        <v>96</v>
      </c>
      <c r="B1" s="63"/>
      <c r="C1" s="63"/>
      <c r="D1" s="63"/>
      <c r="E1" s="64"/>
      <c r="F1" s="64"/>
      <c r="G1" s="64"/>
      <c r="H1" s="64"/>
      <c r="I1" s="63"/>
      <c r="J1" s="65" t="str">
        <f>member!$B$2</f>
        <v>member0</v>
      </c>
      <c r="N1" s="65" t="str">
        <f>member!$B$3</f>
        <v>member1</v>
      </c>
      <c r="R1" s="65" t="str">
        <f>member!$B$4</f>
        <v>member2</v>
      </c>
      <c r="V1" s="65" t="str">
        <f>member!$B$5</f>
        <v>member3</v>
      </c>
      <c r="Z1" s="65" t="str">
        <f>member!$B$6</f>
        <v>member4</v>
      </c>
    </row>
    <row r="2" spans="1:174" s="62" customFormat="1" x14ac:dyDescent="0.4">
      <c r="A2" s="60"/>
      <c r="B2" s="60"/>
      <c r="C2" s="60"/>
      <c r="D2" s="60"/>
      <c r="E2" s="61"/>
      <c r="F2" s="61"/>
      <c r="G2" s="61"/>
      <c r="H2" s="61"/>
      <c r="I2" s="60"/>
      <c r="J2" s="65" t="str">
        <f>member!$B$7</f>
        <v>member5</v>
      </c>
      <c r="K2" s="65"/>
      <c r="L2" s="65"/>
      <c r="M2" s="65"/>
      <c r="N2" s="65" t="str">
        <f>member!$B$8</f>
        <v>member6</v>
      </c>
      <c r="O2" s="65"/>
      <c r="P2" s="65"/>
      <c r="Q2" s="65"/>
      <c r="R2" s="65" t="str">
        <f>member!$B$9</f>
        <v>member7</v>
      </c>
      <c r="S2" s="65"/>
      <c r="T2" s="65"/>
      <c r="U2" s="65"/>
      <c r="V2" s="65" t="str">
        <f>member!$B$10</f>
        <v>member8</v>
      </c>
      <c r="W2" s="65"/>
      <c r="X2" s="65"/>
      <c r="Y2" s="65"/>
      <c r="Z2" s="65" t="str">
        <f>member!$B$11</f>
        <v>member9</v>
      </c>
    </row>
    <row r="3" spans="1:174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57">
        <v>2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>
        <v>3</v>
      </c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106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  <c r="FL3" s="57"/>
      <c r="FM3" s="57"/>
      <c r="FN3" s="57"/>
      <c r="FO3" s="57"/>
      <c r="FP3" s="57"/>
      <c r="FQ3" s="57"/>
      <c r="FR3" s="57"/>
    </row>
    <row r="4" spans="1:174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58">
        <v>2</v>
      </c>
      <c r="K4" s="58">
        <v>3</v>
      </c>
      <c r="L4" s="58">
        <v>4</v>
      </c>
      <c r="M4" s="58">
        <v>5</v>
      </c>
      <c r="N4" s="58">
        <v>6</v>
      </c>
      <c r="O4" s="58">
        <v>7</v>
      </c>
      <c r="P4" s="58">
        <v>8</v>
      </c>
      <c r="Q4" s="58">
        <v>9</v>
      </c>
      <c r="R4" s="58">
        <v>10</v>
      </c>
      <c r="S4" s="58">
        <v>11</v>
      </c>
      <c r="T4" s="58">
        <v>12</v>
      </c>
      <c r="U4" s="58">
        <v>13</v>
      </c>
      <c r="V4" s="58">
        <v>14</v>
      </c>
      <c r="W4" s="58">
        <v>15</v>
      </c>
      <c r="X4" s="58">
        <v>16</v>
      </c>
      <c r="Y4" s="58">
        <v>17</v>
      </c>
      <c r="Z4" s="58">
        <v>18</v>
      </c>
      <c r="AA4" s="58">
        <v>19</v>
      </c>
      <c r="AB4" s="58">
        <v>20</v>
      </c>
      <c r="AC4" s="58">
        <v>21</v>
      </c>
      <c r="AD4" s="58">
        <v>22</v>
      </c>
      <c r="AE4" s="58">
        <v>23</v>
      </c>
      <c r="AF4" s="58">
        <v>24</v>
      </c>
      <c r="AG4" s="58">
        <v>25</v>
      </c>
      <c r="AH4" s="58">
        <v>26</v>
      </c>
      <c r="AI4" s="58">
        <v>27</v>
      </c>
      <c r="AJ4" s="58">
        <v>28</v>
      </c>
      <c r="AK4" s="58">
        <v>29</v>
      </c>
      <c r="AL4" s="58">
        <v>1</v>
      </c>
      <c r="AM4" s="58">
        <v>2</v>
      </c>
      <c r="AN4" s="58">
        <v>3</v>
      </c>
      <c r="AO4" s="58">
        <v>4</v>
      </c>
      <c r="AP4" s="58">
        <v>5</v>
      </c>
      <c r="AQ4" s="58">
        <v>6</v>
      </c>
      <c r="AR4" s="58">
        <v>7</v>
      </c>
      <c r="AS4" s="58">
        <v>8</v>
      </c>
      <c r="AT4" s="58">
        <v>9</v>
      </c>
      <c r="AU4" s="58">
        <v>10</v>
      </c>
      <c r="AV4" s="58">
        <v>11</v>
      </c>
      <c r="AW4" s="58">
        <v>12</v>
      </c>
      <c r="AX4" s="58">
        <v>13</v>
      </c>
      <c r="AY4" s="58">
        <v>14</v>
      </c>
      <c r="AZ4" s="58">
        <v>15</v>
      </c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107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M4" s="58"/>
      <c r="FN4" s="58"/>
      <c r="FO4" s="58"/>
      <c r="FP4" s="58"/>
      <c r="FQ4" s="58"/>
      <c r="FR4" s="58"/>
    </row>
    <row r="5" spans="1:174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59" t="s">
        <v>26</v>
      </c>
      <c r="K5" s="59" t="s">
        <v>31</v>
      </c>
      <c r="L5" s="59" t="s">
        <v>47</v>
      </c>
      <c r="M5" s="59" t="s">
        <v>34</v>
      </c>
      <c r="N5" s="59" t="s">
        <v>36</v>
      </c>
      <c r="O5" s="59" t="s">
        <v>38</v>
      </c>
      <c r="P5" s="59" t="s">
        <v>28</v>
      </c>
      <c r="Q5" s="59" t="s">
        <v>26</v>
      </c>
      <c r="R5" s="59" t="s">
        <v>31</v>
      </c>
      <c r="S5" s="59" t="s">
        <v>47</v>
      </c>
      <c r="T5" s="59" t="s">
        <v>34</v>
      </c>
      <c r="U5" s="59" t="s">
        <v>36</v>
      </c>
      <c r="V5" s="59" t="s">
        <v>38</v>
      </c>
      <c r="W5" s="59" t="s">
        <v>28</v>
      </c>
      <c r="X5" s="59" t="s">
        <v>26</v>
      </c>
      <c r="Y5" s="59" t="s">
        <v>31</v>
      </c>
      <c r="Z5" s="59" t="s">
        <v>47</v>
      </c>
      <c r="AA5" s="59" t="s">
        <v>34</v>
      </c>
      <c r="AB5" s="59" t="s">
        <v>36</v>
      </c>
      <c r="AC5" s="59" t="s">
        <v>38</v>
      </c>
      <c r="AD5" s="59" t="s">
        <v>28</v>
      </c>
      <c r="AE5" s="59" t="s">
        <v>26</v>
      </c>
      <c r="AF5" s="59" t="s">
        <v>31</v>
      </c>
      <c r="AG5" s="59" t="s">
        <v>47</v>
      </c>
      <c r="AH5" s="59" t="s">
        <v>34</v>
      </c>
      <c r="AI5" s="59" t="s">
        <v>36</v>
      </c>
      <c r="AJ5" s="59" t="s">
        <v>38</v>
      </c>
      <c r="AK5" s="59" t="s">
        <v>28</v>
      </c>
      <c r="AL5" s="59" t="s">
        <v>26</v>
      </c>
      <c r="AM5" s="59" t="s">
        <v>31</v>
      </c>
      <c r="AN5" s="59" t="s">
        <v>47</v>
      </c>
      <c r="AO5" s="59" t="s">
        <v>34</v>
      </c>
      <c r="AP5" s="59" t="s">
        <v>36</v>
      </c>
      <c r="AQ5" s="59" t="s">
        <v>38</v>
      </c>
      <c r="AR5" s="59" t="s">
        <v>28</v>
      </c>
      <c r="AS5" s="59" t="s">
        <v>26</v>
      </c>
      <c r="AT5" s="59" t="s">
        <v>31</v>
      </c>
      <c r="AU5" s="59" t="s">
        <v>47</v>
      </c>
      <c r="AV5" s="59" t="s">
        <v>34</v>
      </c>
      <c r="AW5" s="59" t="s">
        <v>36</v>
      </c>
      <c r="AX5" s="59" t="s">
        <v>38</v>
      </c>
      <c r="AY5" s="59" t="s">
        <v>28</v>
      </c>
      <c r="AZ5" s="59" t="s">
        <v>26</v>
      </c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108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</row>
    <row r="6" spans="1:174" s="6" customFormat="1" x14ac:dyDescent="0.4">
      <c r="C6" s="6" t="s">
        <v>18</v>
      </c>
      <c r="E6" s="47"/>
      <c r="F6" s="47"/>
      <c r="G6" s="47"/>
      <c r="H6" s="47"/>
    </row>
    <row r="7" spans="1:174" x14ac:dyDescent="0.4">
      <c r="A7" s="7"/>
      <c r="B7" s="48">
        <v>1</v>
      </c>
      <c r="C7" s="48" t="s">
        <v>0</v>
      </c>
      <c r="D7" s="69" t="s">
        <v>1</v>
      </c>
      <c r="E7" s="69">
        <v>42402</v>
      </c>
      <c r="F7" s="70">
        <v>1</v>
      </c>
      <c r="G7" s="70">
        <v>1</v>
      </c>
      <c r="H7" s="69">
        <f>getEndDate()</f>
        <v>42402</v>
      </c>
      <c r="I7" s="87" t="s">
        <v>16</v>
      </c>
      <c r="J7" s="48"/>
      <c r="N7" s="8"/>
      <c r="O7" s="9"/>
      <c r="S7" s="9"/>
      <c r="U7" s="8"/>
      <c r="V7" s="9"/>
      <c r="AB7" s="8"/>
      <c r="AC7" s="9"/>
      <c r="AI7" s="8"/>
      <c r="AJ7" s="9"/>
      <c r="AP7" s="8"/>
      <c r="AQ7" s="9"/>
      <c r="AW7" s="8"/>
      <c r="AX7" s="9"/>
    </row>
    <row r="8" spans="1:174" x14ac:dyDescent="0.4">
      <c r="A8" s="7"/>
      <c r="B8" s="49">
        <f>nextId(curtAddr())</f>
        <v>2</v>
      </c>
      <c r="C8" s="71" t="s">
        <v>73</v>
      </c>
      <c r="D8" s="49" t="s">
        <v>66</v>
      </c>
      <c r="E8" s="98">
        <f>getStartDate()</f>
        <v>42403</v>
      </c>
      <c r="F8" s="72">
        <v>1</v>
      </c>
      <c r="G8" s="72">
        <v>1</v>
      </c>
      <c r="H8" s="98">
        <f>getEndDate()</f>
        <v>42403</v>
      </c>
      <c r="I8" s="88" t="s">
        <v>21</v>
      </c>
      <c r="K8" s="49"/>
      <c r="N8" s="8"/>
      <c r="O8" s="9"/>
      <c r="S8" s="9"/>
      <c r="U8" s="8"/>
      <c r="V8" s="9"/>
      <c r="AB8" s="8"/>
      <c r="AC8" s="9"/>
      <c r="AI8" s="8"/>
      <c r="AJ8" s="9"/>
      <c r="AP8" s="8"/>
      <c r="AQ8" s="9"/>
      <c r="AW8" s="8"/>
      <c r="AX8" s="9"/>
    </row>
    <row r="9" spans="1:174" x14ac:dyDescent="0.4">
      <c r="A9" s="7"/>
      <c r="B9" s="50">
        <f>nextId(curtAddr())</f>
        <v>3</v>
      </c>
      <c r="C9" s="50" t="s">
        <v>2</v>
      </c>
      <c r="D9" s="50" t="s">
        <v>3</v>
      </c>
      <c r="E9" s="99">
        <f t="shared" ref="E9:E38" si="0">getStartDate()</f>
        <v>42404</v>
      </c>
      <c r="F9" s="73">
        <v>1</v>
      </c>
      <c r="G9" s="73">
        <v>1</v>
      </c>
      <c r="H9" s="99">
        <f t="shared" ref="H9:H38" si="1">getEndDate()</f>
        <v>42404</v>
      </c>
      <c r="I9" s="89" t="s">
        <v>22</v>
      </c>
      <c r="L9" s="50"/>
      <c r="N9" s="8"/>
      <c r="O9" s="9"/>
      <c r="S9" s="9"/>
      <c r="U9" s="8"/>
      <c r="V9" s="9"/>
      <c r="AB9" s="8"/>
      <c r="AC9" s="9"/>
      <c r="AI9" s="8"/>
      <c r="AJ9" s="9"/>
      <c r="AP9" s="8"/>
      <c r="AQ9" s="9"/>
      <c r="AW9" s="8"/>
      <c r="AX9" s="9"/>
    </row>
    <row r="10" spans="1:174" x14ac:dyDescent="0.4">
      <c r="A10" s="7"/>
      <c r="B10" s="51">
        <f>nextId(curtAddr())</f>
        <v>4</v>
      </c>
      <c r="C10" s="74" t="s">
        <v>4</v>
      </c>
      <c r="D10" s="51" t="s">
        <v>5</v>
      </c>
      <c r="E10" s="100">
        <f t="shared" si="0"/>
        <v>42405</v>
      </c>
      <c r="F10" s="75">
        <v>1</v>
      </c>
      <c r="G10" s="75">
        <v>1</v>
      </c>
      <c r="H10" s="100">
        <f>getEndDate()</f>
        <v>42405</v>
      </c>
      <c r="I10" s="90" t="s">
        <v>94</v>
      </c>
      <c r="M10" s="51"/>
      <c r="N10" s="8"/>
      <c r="O10" s="9"/>
      <c r="S10" s="9"/>
      <c r="U10" s="8"/>
      <c r="V10" s="9"/>
      <c r="AB10" s="8"/>
      <c r="AC10" s="9"/>
      <c r="AI10" s="8"/>
      <c r="AJ10" s="9"/>
      <c r="AP10" s="8"/>
      <c r="AQ10" s="9"/>
      <c r="AW10" s="8"/>
      <c r="AX10" s="9"/>
    </row>
    <row r="11" spans="1:174" x14ac:dyDescent="0.4">
      <c r="A11" s="7"/>
      <c r="B11" s="45">
        <f>nextId(curtAddr())</f>
        <v>5</v>
      </c>
      <c r="C11" s="76" t="s">
        <v>6</v>
      </c>
      <c r="D11" s="45" t="s">
        <v>7</v>
      </c>
      <c r="E11" s="101">
        <f t="shared" si="0"/>
        <v>42408</v>
      </c>
      <c r="F11" s="77">
        <v>1</v>
      </c>
      <c r="G11" s="77">
        <v>1</v>
      </c>
      <c r="H11" s="101">
        <f t="shared" si="1"/>
        <v>42408</v>
      </c>
      <c r="I11" s="91" t="s">
        <v>23</v>
      </c>
      <c r="N11" s="8"/>
      <c r="O11" s="9"/>
      <c r="P11" s="45"/>
      <c r="S11" s="9"/>
      <c r="U11" s="8"/>
      <c r="V11" s="9"/>
      <c r="AB11" s="8"/>
      <c r="AC11" s="9"/>
      <c r="AI11" s="8"/>
      <c r="AJ11" s="9"/>
      <c r="AP11" s="8"/>
      <c r="AQ11" s="9"/>
      <c r="AW11" s="8"/>
      <c r="AX11" s="9"/>
    </row>
    <row r="12" spans="1:174" x14ac:dyDescent="0.4">
      <c r="A12" s="7"/>
      <c r="B12" s="52">
        <f>nextId(curtAddr())</f>
        <v>6</v>
      </c>
      <c r="C12" s="78" t="s">
        <v>8</v>
      </c>
      <c r="D12" s="52" t="s">
        <v>9</v>
      </c>
      <c r="E12" s="97">
        <f t="shared" si="0"/>
        <v>42409</v>
      </c>
      <c r="F12" s="79">
        <v>1</v>
      </c>
      <c r="G12" s="79">
        <v>1</v>
      </c>
      <c r="H12" s="97">
        <f t="shared" si="1"/>
        <v>42409</v>
      </c>
      <c r="I12" s="92" t="s">
        <v>69</v>
      </c>
      <c r="N12" s="8"/>
      <c r="O12" s="9"/>
      <c r="Q12" s="52"/>
      <c r="S12" s="9"/>
      <c r="U12" s="8"/>
      <c r="V12" s="9"/>
      <c r="AB12" s="8"/>
      <c r="AC12" s="9"/>
      <c r="AI12" s="8"/>
      <c r="AJ12" s="9"/>
      <c r="AP12" s="8"/>
      <c r="AQ12" s="9"/>
      <c r="AW12" s="8"/>
      <c r="AX12" s="9"/>
    </row>
    <row r="13" spans="1:174" x14ac:dyDescent="0.4">
      <c r="A13" s="7"/>
      <c r="B13" s="68">
        <f>nextId(curtAddr())</f>
        <v>7</v>
      </c>
      <c r="C13" s="80" t="s">
        <v>6</v>
      </c>
      <c r="D13" s="68" t="s">
        <v>10</v>
      </c>
      <c r="E13" s="102">
        <f t="shared" si="0"/>
        <v>42410</v>
      </c>
      <c r="F13" s="81">
        <v>1</v>
      </c>
      <c r="G13" s="81">
        <v>1</v>
      </c>
      <c r="H13" s="102">
        <f t="shared" si="1"/>
        <v>42410</v>
      </c>
      <c r="I13" s="93" t="s">
        <v>72</v>
      </c>
      <c r="N13" s="8"/>
      <c r="O13" s="9"/>
      <c r="R13" s="68"/>
      <c r="S13" s="9"/>
      <c r="U13" s="8"/>
      <c r="V13" s="9"/>
      <c r="AB13" s="8"/>
      <c r="AC13" s="9"/>
      <c r="AI13" s="8"/>
      <c r="AJ13" s="9"/>
      <c r="AP13" s="8"/>
      <c r="AQ13" s="9"/>
      <c r="AW13" s="8"/>
      <c r="AX13" s="9"/>
    </row>
    <row r="14" spans="1:174" x14ac:dyDescent="0.4">
      <c r="A14" s="7"/>
      <c r="B14" s="53">
        <f>nextId(curtAddr())</f>
        <v>8</v>
      </c>
      <c r="C14" s="82" t="s">
        <v>8</v>
      </c>
      <c r="D14" s="53" t="s">
        <v>11</v>
      </c>
      <c r="E14" s="103">
        <f t="shared" si="0"/>
        <v>42412</v>
      </c>
      <c r="F14" s="83">
        <v>1</v>
      </c>
      <c r="G14" s="83">
        <v>1</v>
      </c>
      <c r="H14" s="103">
        <f t="shared" si="1"/>
        <v>42412</v>
      </c>
      <c r="I14" s="94" t="s">
        <v>17</v>
      </c>
      <c r="N14" s="8"/>
      <c r="O14" s="9"/>
      <c r="S14" s="9"/>
      <c r="T14" s="53"/>
      <c r="U14" s="8"/>
      <c r="V14" s="9"/>
      <c r="AB14" s="8"/>
      <c r="AC14" s="9"/>
      <c r="AI14" s="8"/>
      <c r="AJ14" s="9"/>
      <c r="AP14" s="8"/>
      <c r="AQ14" s="9"/>
      <c r="AW14" s="8"/>
      <c r="AX14" s="9"/>
    </row>
    <row r="15" spans="1:174" x14ac:dyDescent="0.4">
      <c r="A15" s="7"/>
      <c r="B15" s="54">
        <f>nextId(curtAddr())</f>
        <v>9</v>
      </c>
      <c r="C15" s="84" t="s">
        <v>12</v>
      </c>
      <c r="D15" s="54" t="s">
        <v>13</v>
      </c>
      <c r="E15" s="104">
        <f t="shared" si="0"/>
        <v>42415</v>
      </c>
      <c r="F15" s="85">
        <v>1</v>
      </c>
      <c r="G15" s="85">
        <v>1</v>
      </c>
      <c r="H15" s="104">
        <f t="shared" si="1"/>
        <v>42415</v>
      </c>
      <c r="I15" s="95" t="s">
        <v>70</v>
      </c>
      <c r="N15" s="8"/>
      <c r="O15" s="9"/>
      <c r="S15" s="9"/>
      <c r="U15" s="8"/>
      <c r="V15" s="9"/>
      <c r="W15" s="54"/>
      <c r="AB15" s="8"/>
      <c r="AC15" s="9"/>
      <c r="AI15" s="8"/>
      <c r="AJ15" s="9"/>
      <c r="AP15" s="8"/>
      <c r="AQ15" s="9"/>
      <c r="AW15" s="8"/>
      <c r="AX15" s="9"/>
    </row>
    <row r="16" spans="1:174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5">
        <f t="shared" si="0"/>
        <v>42416</v>
      </c>
      <c r="F16" s="86">
        <v>1</v>
      </c>
      <c r="G16" s="86">
        <v>1</v>
      </c>
      <c r="H16" s="105">
        <f t="shared" si="1"/>
        <v>42416</v>
      </c>
      <c r="I16" s="96" t="s">
        <v>67</v>
      </c>
      <c r="N16" s="8"/>
      <c r="O16" s="9"/>
      <c r="S16" s="9"/>
      <c r="U16" s="8"/>
      <c r="V16" s="9"/>
      <c r="X16" s="55"/>
      <c r="AB16" s="8"/>
      <c r="AC16" s="9"/>
      <c r="AI16" s="8"/>
      <c r="AJ16" s="9"/>
      <c r="AP16" s="8"/>
      <c r="AQ16" s="9"/>
      <c r="AW16" s="8"/>
      <c r="AX16" s="9"/>
    </row>
    <row r="17" spans="1:50" s="6" customFormat="1" x14ac:dyDescent="0.4">
      <c r="C17" s="6" t="s">
        <v>18</v>
      </c>
      <c r="E17" s="47"/>
      <c r="F17" s="47"/>
      <c r="G17" s="47"/>
      <c r="H17" s="47"/>
    </row>
    <row r="18" spans="1:50" x14ac:dyDescent="0.4">
      <c r="A18" s="7"/>
      <c r="B18" s="48">
        <f>nextId(curtAddr())</f>
        <v>11</v>
      </c>
      <c r="C18" s="48" t="s">
        <v>0</v>
      </c>
      <c r="D18" s="48" t="s">
        <v>1</v>
      </c>
      <c r="E18" s="69">
        <f t="shared" si="0"/>
        <v>42417</v>
      </c>
      <c r="F18" s="70">
        <v>1</v>
      </c>
      <c r="G18" s="70">
        <v>1</v>
      </c>
      <c r="H18" s="69">
        <f t="shared" si="1"/>
        <v>42417</v>
      </c>
      <c r="I18" s="87" t="s">
        <v>16</v>
      </c>
      <c r="N18" s="8"/>
      <c r="O18" s="9"/>
      <c r="S18" s="9"/>
      <c r="U18" s="8"/>
      <c r="V18" s="9"/>
      <c r="Y18" s="48"/>
      <c r="AB18" s="8"/>
      <c r="AC18" s="9"/>
      <c r="AI18" s="8"/>
      <c r="AJ18" s="9"/>
      <c r="AP18" s="8"/>
      <c r="AQ18" s="9"/>
      <c r="AW18" s="8"/>
      <c r="AX18" s="9"/>
    </row>
    <row r="19" spans="1:50" x14ac:dyDescent="0.4">
      <c r="A19" s="7"/>
      <c r="B19" s="49">
        <f>nextId(curtAddr())</f>
        <v>12</v>
      </c>
      <c r="C19" s="71" t="s">
        <v>73</v>
      </c>
      <c r="D19" s="49" t="s">
        <v>66</v>
      </c>
      <c r="E19" s="98">
        <f t="shared" si="0"/>
        <v>42418</v>
      </c>
      <c r="F19" s="72">
        <v>1</v>
      </c>
      <c r="G19" s="72">
        <v>1</v>
      </c>
      <c r="H19" s="98">
        <f t="shared" si="1"/>
        <v>42418</v>
      </c>
      <c r="I19" s="88" t="s">
        <v>21</v>
      </c>
      <c r="N19" s="8"/>
      <c r="O19" s="9"/>
      <c r="S19" s="9"/>
      <c r="U19" s="8"/>
      <c r="V19" s="9"/>
      <c r="Z19" s="49"/>
      <c r="AB19" s="8"/>
      <c r="AC19" s="9"/>
      <c r="AI19" s="8"/>
      <c r="AJ19" s="9"/>
      <c r="AP19" s="8"/>
      <c r="AQ19" s="9"/>
      <c r="AW19" s="8"/>
      <c r="AX19" s="9"/>
    </row>
    <row r="20" spans="1:50" x14ac:dyDescent="0.4">
      <c r="A20" s="7"/>
      <c r="B20" s="50">
        <f>nextId(curtAddr())</f>
        <v>13</v>
      </c>
      <c r="C20" s="50" t="s">
        <v>2</v>
      </c>
      <c r="D20" s="50" t="s">
        <v>3</v>
      </c>
      <c r="E20" s="99">
        <f t="shared" si="0"/>
        <v>42419</v>
      </c>
      <c r="F20" s="73">
        <v>1</v>
      </c>
      <c r="G20" s="73">
        <v>1</v>
      </c>
      <c r="H20" s="99">
        <f t="shared" si="1"/>
        <v>42419</v>
      </c>
      <c r="I20" s="89" t="s">
        <v>22</v>
      </c>
      <c r="N20" s="8"/>
      <c r="O20" s="9"/>
      <c r="S20" s="9"/>
      <c r="U20" s="8"/>
      <c r="V20" s="9"/>
      <c r="AA20" s="50"/>
      <c r="AB20" s="8"/>
      <c r="AC20" s="9"/>
      <c r="AI20" s="8"/>
      <c r="AJ20" s="9"/>
      <c r="AP20" s="8"/>
      <c r="AQ20" s="9"/>
      <c r="AW20" s="8"/>
      <c r="AX20" s="9"/>
    </row>
    <row r="21" spans="1:50" x14ac:dyDescent="0.4">
      <c r="A21" s="7"/>
      <c r="B21" s="51">
        <f>nextId(curtAddr())</f>
        <v>14</v>
      </c>
      <c r="C21" s="74" t="s">
        <v>4</v>
      </c>
      <c r="D21" s="51" t="s">
        <v>5</v>
      </c>
      <c r="E21" s="100">
        <f t="shared" si="0"/>
        <v>42422</v>
      </c>
      <c r="F21" s="75">
        <v>1</v>
      </c>
      <c r="G21" s="75">
        <v>1</v>
      </c>
      <c r="H21" s="100">
        <f t="shared" si="1"/>
        <v>42422</v>
      </c>
      <c r="I21" s="90" t="s">
        <v>94</v>
      </c>
      <c r="N21" s="8"/>
      <c r="O21" s="9"/>
      <c r="S21" s="9"/>
      <c r="U21" s="8"/>
      <c r="V21" s="9"/>
      <c r="AB21" s="8"/>
      <c r="AC21" s="9"/>
      <c r="AD21" s="51"/>
      <c r="AI21" s="8"/>
      <c r="AJ21" s="9"/>
      <c r="AP21" s="8"/>
      <c r="AQ21" s="9"/>
      <c r="AW21" s="8"/>
      <c r="AX21" s="9"/>
    </row>
    <row r="22" spans="1:50" x14ac:dyDescent="0.4">
      <c r="A22" s="7"/>
      <c r="B22" s="45">
        <f>nextId(curtAddr())</f>
        <v>15</v>
      </c>
      <c r="C22" s="76" t="s">
        <v>6</v>
      </c>
      <c r="D22" s="45" t="s">
        <v>7</v>
      </c>
      <c r="E22" s="101">
        <f t="shared" si="0"/>
        <v>42423</v>
      </c>
      <c r="F22" s="77">
        <v>1</v>
      </c>
      <c r="G22" s="77">
        <v>1</v>
      </c>
      <c r="H22" s="101">
        <f t="shared" si="1"/>
        <v>42423</v>
      </c>
      <c r="I22" s="91" t="s">
        <v>23</v>
      </c>
      <c r="N22" s="8"/>
      <c r="O22" s="9"/>
      <c r="S22" s="9"/>
      <c r="U22" s="8"/>
      <c r="V22" s="9"/>
      <c r="AB22" s="8"/>
      <c r="AC22" s="9"/>
      <c r="AE22" s="45"/>
      <c r="AI22" s="8"/>
      <c r="AJ22" s="9"/>
      <c r="AP22" s="8"/>
      <c r="AQ22" s="9"/>
      <c r="AW22" s="8"/>
      <c r="AX22" s="9"/>
    </row>
    <row r="23" spans="1:50" x14ac:dyDescent="0.4">
      <c r="A23" s="7"/>
      <c r="B23" s="52">
        <f>nextId(curtAddr())</f>
        <v>16</v>
      </c>
      <c r="C23" s="78" t="s">
        <v>8</v>
      </c>
      <c r="D23" s="52" t="s">
        <v>9</v>
      </c>
      <c r="E23" s="97">
        <f t="shared" si="0"/>
        <v>42424</v>
      </c>
      <c r="F23" s="79">
        <v>1</v>
      </c>
      <c r="G23" s="79">
        <v>1</v>
      </c>
      <c r="H23" s="97">
        <f>getEndDate()</f>
        <v>42424</v>
      </c>
      <c r="I23" s="92" t="s">
        <v>69</v>
      </c>
      <c r="N23" s="8"/>
      <c r="O23" s="9"/>
      <c r="S23" s="9"/>
      <c r="U23" s="8"/>
      <c r="V23" s="9"/>
      <c r="AB23" s="8"/>
      <c r="AC23" s="9"/>
      <c r="AF23" s="52"/>
      <c r="AI23" s="8"/>
      <c r="AJ23" s="9"/>
      <c r="AP23" s="8"/>
      <c r="AQ23" s="9"/>
      <c r="AW23" s="8"/>
      <c r="AX23" s="9"/>
    </row>
    <row r="24" spans="1:50" x14ac:dyDescent="0.4">
      <c r="A24" s="7"/>
      <c r="B24" s="68">
        <f>nextId(curtAddr())</f>
        <v>17</v>
      </c>
      <c r="C24" s="80" t="s">
        <v>6</v>
      </c>
      <c r="D24" s="68" t="s">
        <v>10</v>
      </c>
      <c r="E24" s="102">
        <f>getStartDate()</f>
        <v>42425</v>
      </c>
      <c r="F24" s="81">
        <v>1</v>
      </c>
      <c r="G24" s="81">
        <v>1</v>
      </c>
      <c r="H24" s="102">
        <f t="shared" si="1"/>
        <v>42425</v>
      </c>
      <c r="I24" s="93" t="s">
        <v>72</v>
      </c>
      <c r="N24" s="8"/>
      <c r="O24" s="9"/>
      <c r="S24" s="9"/>
      <c r="U24" s="8"/>
      <c r="V24" s="9"/>
      <c r="AB24" s="8"/>
      <c r="AC24" s="9"/>
      <c r="AG24" s="68"/>
      <c r="AI24" s="8"/>
      <c r="AJ24" s="9"/>
      <c r="AP24" s="8"/>
      <c r="AQ24" s="9"/>
      <c r="AW24" s="8"/>
      <c r="AX24" s="9"/>
    </row>
    <row r="25" spans="1:50" x14ac:dyDescent="0.4">
      <c r="A25" s="7"/>
      <c r="B25" s="53">
        <f>nextId(curtAddr())</f>
        <v>18</v>
      </c>
      <c r="C25" s="82" t="s">
        <v>8</v>
      </c>
      <c r="D25" s="53" t="s">
        <v>11</v>
      </c>
      <c r="E25" s="103">
        <f t="shared" si="0"/>
        <v>42426</v>
      </c>
      <c r="F25" s="83">
        <v>1</v>
      </c>
      <c r="G25" s="83">
        <v>1</v>
      </c>
      <c r="H25" s="103">
        <f t="shared" si="1"/>
        <v>42426</v>
      </c>
      <c r="I25" s="94" t="s">
        <v>17</v>
      </c>
      <c r="N25" s="8"/>
      <c r="O25" s="9"/>
      <c r="S25" s="9"/>
      <c r="U25" s="8"/>
      <c r="V25" s="9"/>
      <c r="AB25" s="8"/>
      <c r="AC25" s="9"/>
      <c r="AH25" s="53"/>
      <c r="AI25" s="8"/>
      <c r="AJ25" s="9"/>
      <c r="AP25" s="8"/>
      <c r="AQ25" s="9"/>
      <c r="AW25" s="8"/>
      <c r="AX25" s="9"/>
    </row>
    <row r="26" spans="1:50" x14ac:dyDescent="0.4">
      <c r="A26" s="7"/>
      <c r="B26" s="54">
        <f>nextId(curtAddr())</f>
        <v>19</v>
      </c>
      <c r="C26" s="84" t="s">
        <v>12</v>
      </c>
      <c r="D26" s="54" t="s">
        <v>13</v>
      </c>
      <c r="E26" s="104">
        <f t="shared" si="0"/>
        <v>42429</v>
      </c>
      <c r="F26" s="85">
        <v>1</v>
      </c>
      <c r="G26" s="85">
        <v>1</v>
      </c>
      <c r="H26" s="104">
        <f t="shared" si="1"/>
        <v>42429</v>
      </c>
      <c r="I26" s="95" t="s">
        <v>70</v>
      </c>
      <c r="N26" s="8"/>
      <c r="O26" s="9"/>
      <c r="S26" s="9"/>
      <c r="U26" s="8"/>
      <c r="V26" s="9"/>
      <c r="AB26" s="8"/>
      <c r="AC26" s="9"/>
      <c r="AI26" s="8"/>
      <c r="AJ26" s="9"/>
      <c r="AK26" s="54"/>
      <c r="AP26" s="8"/>
      <c r="AQ26" s="9"/>
      <c r="AW26" s="8"/>
      <c r="AX26" s="9"/>
    </row>
    <row r="27" spans="1:50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5">
        <f t="shared" si="0"/>
        <v>42430</v>
      </c>
      <c r="F27" s="86">
        <v>1</v>
      </c>
      <c r="G27" s="86">
        <v>1</v>
      </c>
      <c r="H27" s="105">
        <f t="shared" si="1"/>
        <v>42430</v>
      </c>
      <c r="I27" s="96" t="s">
        <v>67</v>
      </c>
      <c r="N27" s="8"/>
      <c r="O27" s="9"/>
      <c r="S27" s="9"/>
      <c r="U27" s="8"/>
      <c r="V27" s="9"/>
      <c r="AB27" s="8"/>
      <c r="AC27" s="9"/>
      <c r="AI27" s="8"/>
      <c r="AJ27" s="9"/>
      <c r="AL27" s="55"/>
      <c r="AP27" s="8"/>
      <c r="AQ27" s="9"/>
      <c r="AW27" s="8"/>
      <c r="AX27" s="9"/>
    </row>
    <row r="28" spans="1:50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50" x14ac:dyDescent="0.4">
      <c r="A29" s="7"/>
      <c r="B29" s="48">
        <f>nextId(curtAddr())</f>
        <v>21</v>
      </c>
      <c r="C29" s="48" t="s">
        <v>0</v>
      </c>
      <c r="D29" s="48" t="s">
        <v>1</v>
      </c>
      <c r="E29" s="69">
        <f t="shared" si="0"/>
        <v>42431</v>
      </c>
      <c r="F29" s="70">
        <v>1</v>
      </c>
      <c r="G29" s="70">
        <v>1</v>
      </c>
      <c r="H29" s="69">
        <f t="shared" si="1"/>
        <v>42431</v>
      </c>
      <c r="I29" s="87" t="s">
        <v>16</v>
      </c>
      <c r="N29" s="8"/>
      <c r="O29" s="9"/>
      <c r="S29" s="9"/>
      <c r="U29" s="8"/>
      <c r="V29" s="9"/>
      <c r="AB29" s="8"/>
      <c r="AC29" s="9"/>
      <c r="AI29" s="8"/>
      <c r="AJ29" s="9"/>
      <c r="AM29" s="48"/>
      <c r="AP29" s="8"/>
      <c r="AQ29" s="9"/>
      <c r="AW29" s="8"/>
      <c r="AX29" s="9"/>
    </row>
    <row r="30" spans="1:50" x14ac:dyDescent="0.4">
      <c r="A30" s="7"/>
      <c r="B30" s="49">
        <f>nextId(curtAddr())</f>
        <v>22</v>
      </c>
      <c r="C30" s="71" t="s">
        <v>73</v>
      </c>
      <c r="D30" s="49" t="s">
        <v>66</v>
      </c>
      <c r="E30" s="98">
        <f t="shared" si="0"/>
        <v>42432</v>
      </c>
      <c r="F30" s="72">
        <v>1</v>
      </c>
      <c r="G30" s="72">
        <v>1</v>
      </c>
      <c r="H30" s="98">
        <f t="shared" si="1"/>
        <v>42432</v>
      </c>
      <c r="I30" s="88" t="s">
        <v>21</v>
      </c>
      <c r="N30" s="8"/>
      <c r="O30" s="9"/>
      <c r="S30" s="9"/>
      <c r="U30" s="8"/>
      <c r="V30" s="9"/>
      <c r="AB30" s="8"/>
      <c r="AC30" s="9"/>
      <c r="AI30" s="8"/>
      <c r="AJ30" s="9"/>
      <c r="AN30" s="49"/>
      <c r="AP30" s="8"/>
      <c r="AQ30" s="9"/>
      <c r="AW30" s="8"/>
      <c r="AX30" s="9"/>
    </row>
    <row r="31" spans="1:50" x14ac:dyDescent="0.4">
      <c r="A31" s="7"/>
      <c r="B31" s="50">
        <f>nextId(curtAddr())</f>
        <v>23</v>
      </c>
      <c r="C31" s="50" t="s">
        <v>2</v>
      </c>
      <c r="D31" s="50" t="s">
        <v>3</v>
      </c>
      <c r="E31" s="99">
        <f t="shared" si="0"/>
        <v>42433</v>
      </c>
      <c r="F31" s="73">
        <v>1</v>
      </c>
      <c r="G31" s="73">
        <v>1</v>
      </c>
      <c r="H31" s="99">
        <f t="shared" si="1"/>
        <v>42433</v>
      </c>
      <c r="I31" s="89" t="s">
        <v>22</v>
      </c>
      <c r="N31" s="8"/>
      <c r="O31" s="9"/>
      <c r="S31" s="9"/>
      <c r="U31" s="8"/>
      <c r="V31" s="9"/>
      <c r="AB31" s="8"/>
      <c r="AC31" s="9"/>
      <c r="AI31" s="8"/>
      <c r="AJ31" s="9"/>
      <c r="AO31" s="50"/>
      <c r="AP31" s="8"/>
      <c r="AQ31" s="9"/>
      <c r="AW31" s="8"/>
      <c r="AX31" s="9"/>
    </row>
    <row r="32" spans="1:50" x14ac:dyDescent="0.4">
      <c r="A32" s="7"/>
      <c r="B32" s="51">
        <f>nextId(curtAddr())</f>
        <v>24</v>
      </c>
      <c r="C32" s="74" t="s">
        <v>4</v>
      </c>
      <c r="D32" s="51" t="s">
        <v>5</v>
      </c>
      <c r="E32" s="100">
        <f t="shared" si="0"/>
        <v>42436</v>
      </c>
      <c r="F32" s="75">
        <v>1</v>
      </c>
      <c r="G32" s="75">
        <v>1</v>
      </c>
      <c r="H32" s="100">
        <f t="shared" si="1"/>
        <v>42436</v>
      </c>
      <c r="I32" s="90" t="s">
        <v>94</v>
      </c>
      <c r="N32" s="8"/>
      <c r="O32" s="9"/>
      <c r="S32" s="9"/>
      <c r="U32" s="8"/>
      <c r="V32" s="9"/>
      <c r="AB32" s="8"/>
      <c r="AC32" s="9"/>
      <c r="AI32" s="8"/>
      <c r="AJ32" s="9"/>
      <c r="AP32" s="8"/>
      <c r="AQ32" s="9"/>
      <c r="AR32" s="51"/>
      <c r="AW32" s="8"/>
      <c r="AX32" s="9"/>
    </row>
    <row r="33" spans="1:52" x14ac:dyDescent="0.4">
      <c r="A33" s="7"/>
      <c r="B33" s="45">
        <f>nextId(curtAddr())</f>
        <v>25</v>
      </c>
      <c r="C33" s="76" t="s">
        <v>6</v>
      </c>
      <c r="D33" s="45" t="s">
        <v>7</v>
      </c>
      <c r="E33" s="101">
        <f t="shared" si="0"/>
        <v>42437</v>
      </c>
      <c r="F33" s="77">
        <v>1</v>
      </c>
      <c r="G33" s="77">
        <v>1</v>
      </c>
      <c r="H33" s="101">
        <f t="shared" si="1"/>
        <v>42437</v>
      </c>
      <c r="I33" s="91" t="s">
        <v>23</v>
      </c>
      <c r="N33" s="8"/>
      <c r="O33" s="9"/>
      <c r="S33" s="9"/>
      <c r="U33" s="8"/>
      <c r="V33" s="9"/>
      <c r="AB33" s="8"/>
      <c r="AC33" s="9"/>
      <c r="AI33" s="8"/>
      <c r="AJ33" s="9"/>
      <c r="AP33" s="8"/>
      <c r="AQ33" s="9"/>
      <c r="AS33" s="45"/>
      <c r="AW33" s="8"/>
      <c r="AX33" s="9"/>
    </row>
    <row r="34" spans="1:52" x14ac:dyDescent="0.4">
      <c r="A34" s="7"/>
      <c r="B34" s="52">
        <f>nextId(curtAddr())</f>
        <v>26</v>
      </c>
      <c r="C34" s="78" t="s">
        <v>8</v>
      </c>
      <c r="D34" s="52" t="s">
        <v>9</v>
      </c>
      <c r="E34" s="97">
        <f t="shared" si="0"/>
        <v>42438</v>
      </c>
      <c r="F34" s="79">
        <v>1</v>
      </c>
      <c r="G34" s="79">
        <v>1</v>
      </c>
      <c r="H34" s="97">
        <f t="shared" si="1"/>
        <v>42438</v>
      </c>
      <c r="I34" s="92" t="s">
        <v>69</v>
      </c>
      <c r="N34" s="8"/>
      <c r="O34" s="9"/>
      <c r="S34" s="9"/>
      <c r="U34" s="8"/>
      <c r="V34" s="9"/>
      <c r="AB34" s="8"/>
      <c r="AC34" s="9"/>
      <c r="AI34" s="8"/>
      <c r="AJ34" s="9"/>
      <c r="AP34" s="8"/>
      <c r="AQ34" s="9"/>
      <c r="AT34" s="52"/>
      <c r="AW34" s="8"/>
      <c r="AX34" s="9"/>
    </row>
    <row r="35" spans="1:52" x14ac:dyDescent="0.4">
      <c r="A35" s="7"/>
      <c r="B35" s="68">
        <f>nextId(curtAddr())</f>
        <v>27</v>
      </c>
      <c r="C35" s="80" t="s">
        <v>6</v>
      </c>
      <c r="D35" s="68" t="s">
        <v>10</v>
      </c>
      <c r="E35" s="102">
        <f t="shared" si="0"/>
        <v>42439</v>
      </c>
      <c r="F35" s="81">
        <v>1</v>
      </c>
      <c r="G35" s="81">
        <v>1</v>
      </c>
      <c r="H35" s="102">
        <f t="shared" si="1"/>
        <v>42439</v>
      </c>
      <c r="I35" s="93" t="s">
        <v>72</v>
      </c>
      <c r="N35" s="8"/>
      <c r="O35" s="9"/>
      <c r="S35" s="9"/>
      <c r="U35" s="8"/>
      <c r="V35" s="9"/>
      <c r="AB35" s="8"/>
      <c r="AC35" s="9"/>
      <c r="AI35" s="8"/>
      <c r="AJ35" s="9"/>
      <c r="AP35" s="8"/>
      <c r="AQ35" s="9"/>
      <c r="AU35" s="68"/>
      <c r="AW35" s="8"/>
      <c r="AX35" s="9"/>
    </row>
    <row r="36" spans="1:52" x14ac:dyDescent="0.4">
      <c r="A36" s="7"/>
      <c r="B36" s="53">
        <f>nextId(curtAddr())</f>
        <v>28</v>
      </c>
      <c r="C36" s="82" t="s">
        <v>8</v>
      </c>
      <c r="D36" s="53" t="s">
        <v>11</v>
      </c>
      <c r="E36" s="103">
        <f t="shared" si="0"/>
        <v>42440</v>
      </c>
      <c r="F36" s="83">
        <v>1</v>
      </c>
      <c r="G36" s="83">
        <v>1</v>
      </c>
      <c r="H36" s="103">
        <f t="shared" si="1"/>
        <v>42440</v>
      </c>
      <c r="I36" s="94" t="s">
        <v>17</v>
      </c>
      <c r="N36" s="8"/>
      <c r="O36" s="9"/>
      <c r="S36" s="9"/>
      <c r="U36" s="8"/>
      <c r="V36" s="9"/>
      <c r="AB36" s="8"/>
      <c r="AC36" s="9"/>
      <c r="AI36" s="8"/>
      <c r="AJ36" s="9"/>
      <c r="AP36" s="8"/>
      <c r="AQ36" s="9"/>
      <c r="AV36" s="53"/>
      <c r="AW36" s="8"/>
      <c r="AX36" s="9"/>
    </row>
    <row r="37" spans="1:52" x14ac:dyDescent="0.4">
      <c r="A37" s="7"/>
      <c r="B37" s="54">
        <f>nextId(curtAddr())</f>
        <v>29</v>
      </c>
      <c r="C37" s="84" t="s">
        <v>12</v>
      </c>
      <c r="D37" s="54" t="s">
        <v>13</v>
      </c>
      <c r="E37" s="104">
        <f t="shared" si="0"/>
        <v>42443</v>
      </c>
      <c r="F37" s="85">
        <v>1</v>
      </c>
      <c r="G37" s="85">
        <v>1</v>
      </c>
      <c r="H37" s="104">
        <f t="shared" si="1"/>
        <v>42443</v>
      </c>
      <c r="I37" s="95" t="s">
        <v>70</v>
      </c>
      <c r="N37" s="8"/>
      <c r="O37" s="9"/>
      <c r="S37" s="9"/>
      <c r="U37" s="8"/>
      <c r="V37" s="9"/>
      <c r="AB37" s="8"/>
      <c r="AC37" s="9"/>
      <c r="AI37" s="8"/>
      <c r="AJ37" s="9"/>
      <c r="AP37" s="8"/>
      <c r="AQ37" s="9"/>
      <c r="AW37" s="8"/>
      <c r="AX37" s="9"/>
      <c r="AY37" s="54"/>
    </row>
    <row r="38" spans="1:52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5">
        <f t="shared" si="0"/>
        <v>42444</v>
      </c>
      <c r="F38" s="86">
        <v>1</v>
      </c>
      <c r="G38" s="86">
        <v>1</v>
      </c>
      <c r="H38" s="105">
        <f t="shared" si="1"/>
        <v>42444</v>
      </c>
      <c r="I38" s="96" t="s">
        <v>67</v>
      </c>
      <c r="N38" s="8"/>
      <c r="O38" s="9"/>
      <c r="S38" s="9"/>
      <c r="U38" s="8"/>
      <c r="V38" s="9"/>
      <c r="AB38" s="8"/>
      <c r="AC38" s="9"/>
      <c r="AI38" s="8"/>
      <c r="AJ38" s="9"/>
      <c r="AP38" s="8"/>
      <c r="AQ38" s="9"/>
      <c r="AW38" s="8"/>
      <c r="AX38" s="9"/>
      <c r="AZ38" s="55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67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2016-05-26T01:59:44Z</dcterms:modified>
  <cp:contentStatus/>
</cp:coreProperties>
</file>